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dom\Documents\Data Analytics\"/>
    </mc:Choice>
  </mc:AlternateContent>
  <xr:revisionPtr revIDLastSave="0" documentId="13_ncr:1_{6B052ACD-5F7E-425E-9742-7736BE8BC34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LV task" sheetId="1" r:id="rId1"/>
    <sheet name="Query" sheetId="3" r:id="rId2"/>
    <sheet name="Data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1" i="1" l="1" a="1"/>
  <c r="A30" i="1" a="1"/>
  <c r="A10" i="1" a="1"/>
  <c r="B29" i="1" a="1"/>
  <c r="B9" i="1" a="1"/>
  <c r="K54" i="1" l="1" a="1"/>
  <c r="G55" i="1" a="1"/>
  <c r="F57" i="1" a="1"/>
  <c r="E57" i="1" a="1"/>
  <c r="D52" i="1" a="1"/>
  <c r="C53" i="1" a="1"/>
  <c r="C58" i="1" a="1"/>
  <c r="C60" i="1" a="1"/>
  <c r="G51" i="1" a="1"/>
  <c r="B59" i="1" a="1"/>
  <c r="D60" i="1" a="1"/>
  <c r="C52" i="1" a="1"/>
  <c r="C59" i="1" a="1"/>
  <c r="D51" i="1" a="1"/>
  <c r="M52" i="1" a="1"/>
  <c r="J54" i="1" a="1"/>
  <c r="I52" i="1" a="1"/>
  <c r="J52" i="1" s="1" a="1"/>
  <c r="I54" i="1" a="1"/>
  <c r="I56" i="1" a="1"/>
  <c r="H55" i="1" a="1"/>
  <c r="G53" i="1" a="1"/>
  <c r="F53" i="1" a="1"/>
  <c r="H51" i="1" a="1"/>
  <c r="F54" i="1" a="1"/>
  <c r="F56" i="1" a="1"/>
  <c r="E58" i="1" a="1"/>
  <c r="E60" i="1" a="1"/>
  <c r="D53" i="1" a="1"/>
  <c r="L52" i="1" a="1"/>
  <c r="I55" i="1" a="1"/>
  <c r="H52" i="1" a="1"/>
  <c r="H54" i="1" a="1"/>
  <c r="G57" i="1" a="1"/>
  <c r="G58" i="1" a="1"/>
  <c r="F52" i="1" a="1"/>
  <c r="E53" i="1" a="1"/>
  <c r="E59" i="1" a="1"/>
  <c r="B53" i="1" a="1"/>
  <c r="B54" i="1" a="1"/>
  <c r="D55" i="1" a="1"/>
  <c r="D57" i="1" a="1"/>
  <c r="D58" i="1" a="1"/>
  <c r="C55" i="1" a="1"/>
  <c r="C51" i="1" a="1"/>
  <c r="F51" i="1" a="1"/>
  <c r="B52" i="1" a="1"/>
  <c r="B61" i="1" a="1"/>
  <c r="B63" i="1" a="1"/>
  <c r="L53" i="1" a="1"/>
  <c r="H53" i="1" a="1"/>
  <c r="H56" i="1" a="1"/>
  <c r="H57" i="1" a="1"/>
  <c r="G54" i="1" a="1"/>
  <c r="E54" i="1" a="1"/>
  <c r="K51" i="1" a="1"/>
  <c r="M51" i="1" a="1"/>
  <c r="B55" i="1" a="1"/>
  <c r="B57" i="1" a="1"/>
  <c r="K52" i="1" a="1"/>
  <c r="J55" i="1" a="1"/>
  <c r="G52" i="1" a="1"/>
  <c r="G56" i="1" a="1"/>
  <c r="E52" i="1" a="1"/>
  <c r="E56" i="1" a="1"/>
  <c r="D61" i="1" a="1"/>
  <c r="C62" i="1" a="1"/>
  <c r="L51" i="1" a="1"/>
  <c r="K53" i="1" a="1"/>
  <c r="J53" i="1" a="1"/>
  <c r="I53" i="1" a="1"/>
  <c r="F58" i="1" a="1"/>
  <c r="E55" i="1" a="1"/>
  <c r="D56" i="1" a="1"/>
  <c r="C54" i="1" a="1"/>
  <c r="E51" i="1" a="1"/>
  <c r="J51" i="1" a="1"/>
  <c r="F55" i="1" a="1"/>
  <c r="F59" i="1" a="1"/>
  <c r="D54" i="1" a="1"/>
  <c r="D59" i="1" a="1"/>
  <c r="C56" i="1" a="1"/>
  <c r="C61" i="1" a="1"/>
  <c r="I51" i="1" a="1"/>
  <c r="N51" i="1" a="1"/>
  <c r="B56" i="1" a="1"/>
  <c r="B60" i="1" a="1"/>
  <c r="B62" i="1" a="1"/>
  <c r="B51" i="1" a="1"/>
  <c r="C57" i="1" a="1"/>
  <c r="B58" i="1" a="1"/>
  <c r="B30" i="1" a="1"/>
  <c r="I34" i="1" a="1"/>
  <c r="H32" i="1" a="1"/>
  <c r="H36" i="1" a="1"/>
  <c r="C37" i="1" a="1"/>
  <c r="C41" i="1" a="1"/>
  <c r="G34" i="1" a="1"/>
  <c r="G35" i="1" a="1"/>
  <c r="G37" i="1" a="1"/>
  <c r="F35" i="1" a="1"/>
  <c r="F38" i="1" a="1"/>
  <c r="E37" i="1" a="1"/>
  <c r="E39" i="1" a="1"/>
  <c r="D32" i="1" a="1"/>
  <c r="D36" i="1" a="1"/>
  <c r="F34" i="1" a="1"/>
  <c r="E36" i="1" a="1"/>
  <c r="D33" i="1" a="1"/>
  <c r="D38" i="1" a="1"/>
  <c r="D39" i="1" a="1"/>
  <c r="C31" i="1" a="1"/>
  <c r="C34" i="1" a="1"/>
  <c r="I31" i="1" a="1"/>
  <c r="J31" i="1" s="1" a="1"/>
  <c r="I35" i="1" a="1"/>
  <c r="H33" i="1" a="1"/>
  <c r="H34" i="1" a="1"/>
  <c r="G31" i="1" a="1"/>
  <c r="I33" i="1" a="1"/>
  <c r="H35" i="1" a="1"/>
  <c r="G33" i="1" a="1"/>
  <c r="E31" i="1" a="1"/>
  <c r="E34" i="1" a="1"/>
  <c r="E38" i="1" a="1"/>
  <c r="G32" i="1" a="1"/>
  <c r="F31" i="1" a="1"/>
  <c r="F32" i="1" a="1"/>
  <c r="F36" i="1" a="1"/>
  <c r="F37" i="1" a="1"/>
  <c r="E32" i="1" a="1"/>
  <c r="E35" i="1" a="1"/>
  <c r="D31" i="1" a="1"/>
  <c r="D34" i="1" a="1"/>
  <c r="D40" i="1" a="1"/>
  <c r="C33" i="1" a="1"/>
  <c r="C35" i="1" a="1"/>
  <c r="C38" i="1" a="1"/>
  <c r="C36" i="1" a="1"/>
  <c r="C40" i="1" a="1"/>
  <c r="D35" i="1" a="1"/>
  <c r="I32" i="1" a="1"/>
  <c r="H31" i="1" a="1"/>
  <c r="G36" i="1" a="1"/>
  <c r="E33" i="1" a="1"/>
  <c r="D37" i="1" a="1"/>
  <c r="C32" i="1" a="1"/>
  <c r="C39" i="1" a="1"/>
  <c r="F33" i="1" a="1"/>
  <c r="M31" i="1" a="1"/>
  <c r="L31" i="1" a="1"/>
  <c r="L32" i="1" a="1"/>
  <c r="K31" i="1" a="1"/>
  <c r="K32" i="1" a="1"/>
  <c r="K33" i="1" a="1"/>
  <c r="J32" i="1" a="1"/>
  <c r="J33" i="1" a="1"/>
  <c r="J34" i="1" a="1"/>
  <c r="C30" i="1" a="1"/>
  <c r="D30" i="1" a="1"/>
  <c r="E30" i="1" a="1"/>
  <c r="F30" i="1" a="1"/>
  <c r="G30" i="1" a="1"/>
  <c r="H30" i="1" a="1"/>
  <c r="I30" i="1" a="1"/>
  <c r="J30" i="1" a="1"/>
  <c r="K30" i="1" a="1"/>
  <c r="L30" i="1" a="1"/>
  <c r="M30" i="1" a="1"/>
  <c r="N30" i="1" a="1"/>
  <c r="B31" i="1" a="1"/>
  <c r="B32" i="1" a="1"/>
  <c r="B33" i="1" a="1"/>
  <c r="B34" i="1" a="1"/>
  <c r="B35" i="1" a="1"/>
  <c r="B36" i="1" a="1"/>
  <c r="B37" i="1" a="1"/>
  <c r="B38" i="1" a="1"/>
  <c r="B39" i="1" a="1"/>
  <c r="B40" i="1" a="1"/>
  <c r="B41" i="1" a="1"/>
  <c r="B42" i="1" a="1"/>
  <c r="B10" i="1" a="1"/>
  <c r="M11" i="1" a="1"/>
  <c r="L11" i="1" a="1"/>
  <c r="L12" i="1" a="1"/>
  <c r="K11" i="1" a="1"/>
  <c r="K12" i="1" a="1"/>
  <c r="K13" i="1" a="1"/>
  <c r="H10" i="1" a="1"/>
  <c r="K10" i="1" a="1"/>
  <c r="M10" i="1" a="1"/>
  <c r="J11" i="1" a="1"/>
  <c r="J12" i="1" a="1"/>
  <c r="J13" i="1" a="1"/>
  <c r="J14" i="1" a="1"/>
  <c r="I11" i="1" a="1"/>
  <c r="I12" i="1" a="1"/>
  <c r="I13" i="1" a="1"/>
  <c r="I14" i="1" a="1"/>
  <c r="I15" i="1" a="1"/>
  <c r="H11" i="1" a="1"/>
  <c r="H12" i="1" a="1"/>
  <c r="H13" i="1" a="1"/>
  <c r="H14" i="1" a="1"/>
  <c r="H15" i="1" a="1"/>
  <c r="H16" i="1" a="1"/>
  <c r="G11" i="1" a="1"/>
  <c r="G12" i="1" a="1"/>
  <c r="G13" i="1" a="1"/>
  <c r="G14" i="1" a="1"/>
  <c r="G15" i="1" a="1"/>
  <c r="G16" i="1" a="1"/>
  <c r="G17" i="1" a="1"/>
  <c r="F11" i="1" a="1"/>
  <c r="F12" i="1" a="1"/>
  <c r="F13" i="1" a="1"/>
  <c r="F14" i="1" a="1"/>
  <c r="F15" i="1" a="1"/>
  <c r="F16" i="1" a="1"/>
  <c r="F17" i="1" a="1"/>
  <c r="F18" i="1" a="1"/>
  <c r="E11" i="1" a="1"/>
  <c r="E12" i="1" a="1"/>
  <c r="E13" i="1" a="1"/>
  <c r="E14" i="1" a="1"/>
  <c r="E15" i="1" a="1"/>
  <c r="E16" i="1" a="1"/>
  <c r="E17" i="1" a="1"/>
  <c r="E18" i="1" a="1"/>
  <c r="E19" i="1" a="1"/>
  <c r="D11" i="1" a="1"/>
  <c r="D12" i="1" a="1"/>
  <c r="D13" i="1" a="1"/>
  <c r="D14" i="1" a="1"/>
  <c r="D15" i="1" a="1"/>
  <c r="D16" i="1" a="1"/>
  <c r="D17" i="1" a="1"/>
  <c r="D18" i="1" a="1"/>
  <c r="D19" i="1" a="1"/>
  <c r="D20" i="1" a="1"/>
  <c r="C11" i="1" a="1"/>
  <c r="C12" i="1" a="1"/>
  <c r="C13" i="1" a="1"/>
  <c r="C14" i="1" a="1"/>
  <c r="C15" i="1" a="1"/>
  <c r="C16" i="1" a="1"/>
  <c r="C17" i="1" a="1"/>
  <c r="C18" i="1" a="1"/>
  <c r="C19" i="1" a="1"/>
  <c r="C20" i="1" a="1"/>
  <c r="C21" i="1" a="1"/>
  <c r="C10" i="1" a="1"/>
  <c r="C23" i="1" s="1"/>
  <c r="D10" i="1" a="1"/>
  <c r="E10" i="1" a="1"/>
  <c r="F10" i="1" a="1"/>
  <c r="G10" i="1" a="1"/>
  <c r="I10" i="1" a="1"/>
  <c r="J10" i="1" a="1"/>
  <c r="L10" i="1" a="1"/>
  <c r="N10" i="1" a="1"/>
  <c r="N23" i="1" s="1"/>
  <c r="B12" i="1" a="1"/>
  <c r="B13" i="1" a="1"/>
  <c r="B14" i="1" a="1"/>
  <c r="B15" i="1" a="1"/>
  <c r="B16" i="1" a="1"/>
  <c r="B17" i="1" a="1"/>
  <c r="B18" i="1" a="1"/>
  <c r="B19" i="1" a="1"/>
  <c r="B20" i="1" a="1"/>
  <c r="B21" i="1" a="1"/>
  <c r="B22" i="1" a="1"/>
  <c r="B11" i="1" a="1"/>
  <c r="H23" i="1" l="1"/>
  <c r="J23" i="1"/>
  <c r="K23" i="1"/>
  <c r="M23" i="1"/>
  <c r="D23" i="1"/>
  <c r="E23" i="1"/>
  <c r="F23" i="1"/>
  <c r="G23" i="1"/>
  <c r="I23" i="1"/>
  <c r="L23" i="1"/>
  <c r="B23" i="1"/>
  <c r="B43" i="1" l="1"/>
  <c r="C43" i="1"/>
  <c r="C44" i="1" s="1"/>
  <c r="C63" i="1" s="1"/>
  <c r="D43" i="1"/>
  <c r="I43" i="1"/>
  <c r="J43" i="1"/>
  <c r="K43" i="1"/>
  <c r="L43" i="1"/>
  <c r="M43" i="1"/>
  <c r="N43" i="1"/>
  <c r="E43" i="1"/>
  <c r="G43" i="1"/>
  <c r="H43" i="1"/>
  <c r="F43" i="1"/>
  <c r="N44" i="1" l="1"/>
  <c r="N52" i="1" s="1"/>
  <c r="E44" i="1"/>
  <c r="E61" i="1" s="1"/>
  <c r="F61" i="1" s="1"/>
  <c r="G61" i="1" s="1"/>
  <c r="H61" i="1" s="1"/>
  <c r="D44" i="1"/>
  <c r="K44" i="1"/>
  <c r="K55" i="1" s="1"/>
  <c r="G44" i="1"/>
  <c r="G59" i="1" s="1"/>
  <c r="F44" i="1"/>
  <c r="F60" i="1" s="1"/>
  <c r="G60" i="1" s="1"/>
  <c r="H60" i="1" s="1"/>
  <c r="I44" i="1"/>
  <c r="I57" i="1" s="1"/>
  <c r="M44" i="1"/>
  <c r="M53" i="1" s="1"/>
  <c r="H44" i="1"/>
  <c r="H58" i="1" s="1"/>
  <c r="J44" i="1"/>
  <c r="J56" i="1" s="1"/>
  <c r="K56" i="1" s="1"/>
  <c r="L56" i="1" s="1"/>
  <c r="M56" i="1" s="1"/>
  <c r="L44" i="1"/>
  <c r="L54" i="1" s="1"/>
  <c r="M54" i="1" s="1"/>
  <c r="N54" i="1" l="1"/>
  <c r="H59" i="1"/>
  <c r="I61" i="1"/>
  <c r="J61" i="1" s="1"/>
  <c r="K61" i="1" s="1"/>
  <c r="L61" i="1" s="1"/>
  <c r="M61" i="1" s="1"/>
  <c r="N61" i="1" s="1"/>
  <c r="I58" i="1"/>
  <c r="J58" i="1" s="1"/>
  <c r="K58" i="1" s="1"/>
  <c r="L58" i="1" s="1"/>
  <c r="M58" i="1" s="1"/>
  <c r="N58" i="1" s="1"/>
  <c r="I59" i="1"/>
  <c r="J59" i="1" s="1"/>
  <c r="K59" i="1" s="1"/>
  <c r="L59" i="1" s="1"/>
  <c r="M59" i="1" s="1"/>
  <c r="N59" i="1" s="1"/>
  <c r="I60" i="1"/>
  <c r="J60" i="1" s="1"/>
  <c r="K60" i="1" s="1"/>
  <c r="L60" i="1" s="1"/>
  <c r="M60" i="1" s="1"/>
  <c r="N60" i="1" s="1"/>
  <c r="L55" i="1"/>
  <c r="M55" i="1" s="1"/>
  <c r="N55" i="1" s="1"/>
  <c r="J57" i="1"/>
  <c r="K57" i="1" s="1"/>
  <c r="L57" i="1" s="1"/>
  <c r="M57" i="1" s="1"/>
  <c r="N57" i="1" s="1"/>
  <c r="N56" i="1"/>
  <c r="N53" i="1"/>
  <c r="D62" i="1"/>
  <c r="E62" i="1" s="1"/>
  <c r="F62" i="1" s="1"/>
  <c r="G62" i="1" s="1"/>
  <c r="H62" i="1" s="1"/>
  <c r="I62" i="1" s="1"/>
  <c r="J62" i="1" s="1"/>
  <c r="K62" i="1" s="1"/>
  <c r="L62" i="1" s="1"/>
  <c r="M62" i="1" s="1"/>
  <c r="N62" i="1" s="1"/>
  <c r="D63" i="1"/>
  <c r="E63" i="1" s="1"/>
  <c r="F63" i="1" s="1"/>
  <c r="G63" i="1" s="1"/>
  <c r="H63" i="1" s="1"/>
  <c r="I63" i="1" s="1"/>
  <c r="J63" i="1" s="1"/>
  <c r="K63" i="1" s="1"/>
  <c r="L63" i="1" s="1"/>
  <c r="M63" i="1" s="1"/>
  <c r="N63" i="1" s="1"/>
  <c r="N64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<sst xmlns="http://schemas.openxmlformats.org/spreadsheetml/2006/main" count="22" uniqueCount="18">
  <si>
    <t>Weeks Since User Registration</t>
  </si>
  <si>
    <t>cohort_week</t>
  </si>
  <si>
    <t>week_offset</t>
  </si>
  <si>
    <t>arpu</t>
  </si>
  <si>
    <t>cumulative_clv</t>
  </si>
  <si>
    <t>Average ARPU ($)</t>
  </si>
  <si>
    <t>CLV Average ($)</t>
  </si>
  <si>
    <t>Cumulative CLV Growth (%)</t>
  </si>
  <si>
    <t>Average cumulative CLV ($)</t>
  </si>
  <si>
    <t>Cohort</t>
  </si>
  <si>
    <t>Customer Lifetime Value Analysis</t>
  </si>
  <si>
    <r>
      <t xml:space="preserve">An </t>
    </r>
    <r>
      <rPr>
        <b/>
        <sz val="12"/>
        <color theme="7" tint="-0.249977111117893"/>
        <rFont val="Arial"/>
        <family val="2"/>
        <scheme val="minor"/>
      </rPr>
      <t>increase</t>
    </r>
    <r>
      <rPr>
        <sz val="12"/>
        <color rgb="FF000000"/>
        <rFont val="Arial"/>
        <family val="2"/>
        <scheme val="minor"/>
      </rPr>
      <t xml:space="preserve"> in registration week revenue was observed in November, peaking in the week of 11/22/2020, which coincides with </t>
    </r>
    <r>
      <rPr>
        <b/>
        <sz val="12"/>
        <color theme="7" tint="-0.249977111117893"/>
        <rFont val="Arial"/>
        <family val="2"/>
        <scheme val="minor"/>
      </rPr>
      <t>Black Week.</t>
    </r>
    <r>
      <rPr>
        <sz val="12"/>
        <color rgb="FF000000"/>
        <rFont val="Arial"/>
        <family val="2"/>
        <scheme val="minor"/>
      </rPr>
      <t xml:space="preserve">
A significant </t>
    </r>
    <r>
      <rPr>
        <b/>
        <sz val="12"/>
        <color theme="5" tint="-0.249977111117893"/>
        <rFont val="Arial"/>
        <family val="2"/>
        <scheme val="minor"/>
      </rPr>
      <t>decrease</t>
    </r>
    <r>
      <rPr>
        <sz val="12"/>
        <color rgb="FF000000"/>
        <rFont val="Arial"/>
        <family val="2"/>
        <scheme val="minor"/>
      </rPr>
      <t xml:space="preserve"> in revenue, throughout all cohorts, was observed in the 4 week period from 12/20/2020, which coincides with the extended</t>
    </r>
    <r>
      <rPr>
        <b/>
        <sz val="12"/>
        <color theme="7" tint="-0.249977111117893"/>
        <rFont val="Arial"/>
        <family val="2"/>
        <scheme val="minor"/>
      </rPr>
      <t xml:space="preserve"> </t>
    </r>
    <r>
      <rPr>
        <b/>
        <sz val="12"/>
        <color theme="5" tint="-0.249977111117893"/>
        <rFont val="Arial"/>
        <family val="2"/>
        <scheme val="minor"/>
      </rPr>
      <t>Christmas, New Year's period.</t>
    </r>
  </si>
  <si>
    <t>Table 1: Weekly Average Revenue by Cohorts</t>
  </si>
  <si>
    <t>Table 2: Weekly Cumulative Revenue by Cohorts</t>
  </si>
  <si>
    <t>Table 3: Weekly Revenue Prediction by Cohorts</t>
  </si>
  <si>
    <r>
      <t xml:space="preserve">The </t>
    </r>
    <r>
      <rPr>
        <b/>
        <sz val="12"/>
        <color theme="7" tint="-0.249977111117893"/>
        <rFont val="Arial"/>
        <family val="2"/>
        <scheme val="minor"/>
      </rPr>
      <t>November cohorts</t>
    </r>
    <r>
      <rPr>
        <sz val="12"/>
        <color rgb="FF000000"/>
        <rFont val="Arial"/>
        <family val="2"/>
        <scheme val="minor"/>
      </rPr>
      <t xml:space="preserve"> proved to be the best performing over the long term, up to the Black Week cohort of 11/22/2020. 
Meanwhile the early results from most recent cohorts </t>
    </r>
    <r>
      <rPr>
        <b/>
        <sz val="12"/>
        <color theme="5" tint="-0.249977111117893"/>
        <rFont val="Arial"/>
        <family val="2"/>
        <scheme val="minor"/>
      </rPr>
      <t>doesn't indicate a bounce-back</t>
    </r>
    <r>
      <rPr>
        <sz val="12"/>
        <color rgb="FF000000"/>
        <rFont val="Arial"/>
        <family val="2"/>
        <scheme val="minor"/>
      </rPr>
      <t>, following the Christmas, New year's slump.</t>
    </r>
  </si>
  <si>
    <r>
      <t xml:space="preserve">The forecast of the Average Customer Lifetime Value shows that, on average, we can expect a CLV of </t>
    </r>
    <r>
      <rPr>
        <b/>
        <sz val="12"/>
        <color theme="5" tint="-0.249977111117893"/>
        <rFont val="Arial"/>
        <family val="2"/>
        <scheme val="minor"/>
      </rPr>
      <t>1.47 USD</t>
    </r>
    <r>
      <rPr>
        <sz val="12"/>
        <color rgb="FF000000"/>
        <rFont val="Arial"/>
        <family val="2"/>
        <scheme val="minor"/>
      </rPr>
      <t xml:space="preserve">, which is </t>
    </r>
    <r>
      <rPr>
        <b/>
        <sz val="12"/>
        <color theme="5" tint="-0.249977111117893"/>
        <rFont val="Arial"/>
        <family val="2"/>
        <scheme val="minor"/>
      </rPr>
      <t>not sustainable</t>
    </r>
    <r>
      <rPr>
        <sz val="12"/>
        <color rgb="FF000000"/>
        <rFont val="Arial"/>
        <family val="2"/>
        <scheme val="minor"/>
      </rPr>
      <t xml:space="preserve"> considering that the acquisition cost alone is 2 USD.
</t>
    </r>
    <r>
      <rPr>
        <b/>
        <sz val="12"/>
        <color theme="1"/>
        <rFont val="Arial"/>
        <family val="2"/>
        <scheme val="minor"/>
      </rPr>
      <t>The review of Customer Acquisition Strategy is strongly advised.</t>
    </r>
  </si>
  <si>
    <r>
      <t xml:space="preserve">This analysis looks at </t>
    </r>
    <r>
      <rPr>
        <b/>
        <sz val="12"/>
        <color theme="1"/>
        <rFont val="Arial"/>
        <family val="2"/>
      </rPr>
      <t>three months</t>
    </r>
    <r>
      <rPr>
        <sz val="12"/>
        <color theme="1"/>
        <rFont val="Arial"/>
        <family val="2"/>
      </rPr>
      <t xml:space="preserve"> of weekly </t>
    </r>
    <r>
      <rPr>
        <b/>
        <sz val="12"/>
        <color theme="1"/>
        <rFont val="Arial"/>
        <family val="2"/>
      </rPr>
      <t>e-commerce</t>
    </r>
    <r>
      <rPr>
        <sz val="12"/>
        <color theme="1"/>
        <rFont val="Arial"/>
        <family val="2"/>
      </rPr>
      <t xml:space="preserve"> cohort data from November through January to track long-term Customer Lifetime Value (CLV).
</t>
    </r>
    <r>
      <rPr>
        <b/>
        <sz val="16"/>
        <color theme="1"/>
        <rFont val="Arial"/>
        <family val="2"/>
      </rPr>
      <t>Key Takeaways:</t>
    </r>
    <r>
      <rPr>
        <sz val="12"/>
        <color theme="1"/>
        <rFont val="Arial"/>
        <family val="2"/>
      </rPr>
      <t xml:space="preserve">
- </t>
    </r>
    <r>
      <rPr>
        <b/>
        <sz val="12"/>
        <color theme="1"/>
        <rFont val="Arial"/>
        <family val="2"/>
      </rPr>
      <t>November Performance:</t>
    </r>
    <r>
      <rPr>
        <sz val="12"/>
        <color theme="1"/>
        <rFont val="Arial"/>
        <family val="2"/>
      </rPr>
      <t xml:space="preserve"> Results were strong across all November cohorts. Driven by Black Week sales, every cohort comfortably surpassed the </t>
    </r>
    <r>
      <rPr>
        <b/>
        <sz val="12"/>
        <color theme="1"/>
        <rFont val="Arial"/>
        <family val="2"/>
      </rPr>
      <t>$2 CAC</t>
    </r>
    <r>
      <rPr>
        <sz val="12"/>
        <color theme="1"/>
        <rFont val="Arial"/>
        <family val="2"/>
      </rPr>
      <t xml:space="preserve"> (Customer Acquisition Cost) threshold.
- </t>
    </r>
    <r>
      <rPr>
        <b/>
        <sz val="12"/>
        <color theme="1"/>
        <rFont val="Arial"/>
        <family val="2"/>
      </rPr>
      <t>Holiday Drop:</t>
    </r>
    <r>
      <rPr>
        <sz val="12"/>
        <color theme="1"/>
        <rFont val="Arial"/>
        <family val="2"/>
      </rPr>
      <t xml:space="preserve"> Revenue fell sharply in December. The four cohorts acquired over the holiday period performed particularly poorly, barely reaching a 12-week CLV of $0.50.
- </t>
    </r>
    <r>
      <rPr>
        <b/>
        <sz val="12"/>
        <color theme="1"/>
        <rFont val="Arial"/>
        <family val="2"/>
      </rPr>
      <t>January Trend:</t>
    </r>
    <r>
      <rPr>
        <sz val="12"/>
        <color theme="1"/>
        <rFont val="Arial"/>
        <family val="2"/>
      </rPr>
      <t xml:space="preserve"> Sales failed to recover in late January, with CLV remaining consistently below the $2 target.
</t>
    </r>
    <r>
      <rPr>
        <b/>
        <sz val="16"/>
        <color theme="1"/>
        <rFont val="Arial"/>
        <family val="2"/>
      </rPr>
      <t>Recommendation:</t>
    </r>
    <r>
      <rPr>
        <sz val="12"/>
        <color theme="1"/>
        <rFont val="Arial"/>
        <family val="2"/>
      </rPr>
      <t xml:space="preserve">
We need an </t>
    </r>
    <r>
      <rPr>
        <b/>
        <sz val="12"/>
        <color theme="4" tint="-0.499984740745262"/>
        <rFont val="Arial"/>
        <family val="2"/>
      </rPr>
      <t>immediate review of our Customer Acquisition strategy.</t>
    </r>
    <r>
      <rPr>
        <sz val="12"/>
        <color theme="1"/>
        <rFont val="Arial"/>
        <family val="2"/>
      </rPr>
      <t xml:space="preserve"> Relying on heavy seasonal promotions like Black Friday to reach profitability isn't a sustainable long-term model for the rest of the year.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</si>
</sst>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  <scheme val="minor"/>
    </font>
    <font>
      <b/>
      <sz val="10"/>
      <color theme="1"/>
      <name val="Arial"/>
      <scheme val="minor"/>
    </font>
    <font>
      <i/>
      <sz val="10"/>
      <color theme="1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28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2"/>
      <color theme="5" tint="-0.249977111117893"/>
      <name val="Arial"/>
      <family val="2"/>
      <scheme val="minor"/>
    </font>
    <font>
      <b/>
      <sz val="12"/>
      <color theme="7" tint="-0.249977111117893"/>
      <name val="Arial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4" tint="-0.4999847407452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4" tint="0.39997558519241921"/>
        <bgColor rgb="FFD9D9D9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/>
    <xf numFmtId="0" fontId="3" fillId="2" borderId="0" xfId="0" applyFont="1" applyFill="1"/>
    <xf numFmtId="165" fontId="3" fillId="2" borderId="0" xfId="0" applyNumberFormat="1" applyFont="1" applyFill="1"/>
    <xf numFmtId="10" fontId="3" fillId="2" borderId="0" xfId="0" applyNumberFormat="1" applyFont="1" applyFill="1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 vertical="center"/>
    </xf>
    <xf numFmtId="14" fontId="1" fillId="0" borderId="0" xfId="0" applyNumberFormat="1" applyFont="1"/>
    <xf numFmtId="14" fontId="0" fillId="0" borderId="0" xfId="0" applyNumberFormat="1"/>
    <xf numFmtId="0" fontId="1" fillId="0" borderId="0" xfId="0" applyFont="1" applyFill="1"/>
    <xf numFmtId="0" fontId="0" fillId="0" borderId="0" xfId="0" applyFill="1"/>
    <xf numFmtId="14" fontId="1" fillId="0" borderId="0" xfId="0" applyNumberFormat="1" applyFont="1" applyFill="1"/>
    <xf numFmtId="0" fontId="6" fillId="2" borderId="0" xfId="0" applyFont="1" applyFill="1"/>
    <xf numFmtId="14" fontId="0" fillId="0" borderId="0" xfId="0" applyNumberFormat="1" applyAlignment="1">
      <alignment vertical="center"/>
    </xf>
    <xf numFmtId="165" fontId="5" fillId="0" borderId="0" xfId="0" applyNumberFormat="1" applyFont="1" applyFill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65" fontId="0" fillId="0" borderId="0" xfId="0" applyNumberFormat="1"/>
    <xf numFmtId="0" fontId="7" fillId="3" borderId="0" xfId="0" applyFont="1" applyFill="1" applyAlignment="1">
      <alignment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right"/>
    </xf>
    <xf numFmtId="165" fontId="7" fillId="3" borderId="0" xfId="0" applyNumberFormat="1" applyFont="1" applyFill="1" applyAlignment="1">
      <alignment vertical="center"/>
    </xf>
    <xf numFmtId="0" fontId="9" fillId="4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2" fillId="0" borderId="0" xfId="0" applyFont="1"/>
    <xf numFmtId="0" fontId="12" fillId="0" borderId="0" xfId="0" applyFont="1" applyFill="1"/>
    <xf numFmtId="0" fontId="11" fillId="0" borderId="0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1" fillId="0" borderId="4" xfId="0" applyFont="1" applyBorder="1" applyAlignment="1">
      <alignment vertical="top" wrapText="1"/>
    </xf>
    <xf numFmtId="0" fontId="11" fillId="0" borderId="5" xfId="0" applyFont="1" applyBorder="1" applyAlignment="1">
      <alignment vertical="top" wrapText="1"/>
    </xf>
    <xf numFmtId="0" fontId="11" fillId="0" borderId="6" xfId="0" applyFont="1" applyBorder="1" applyAlignment="1">
      <alignment vertical="top" wrapText="1"/>
    </xf>
    <xf numFmtId="0" fontId="11" fillId="0" borderId="7" xfId="0" applyFont="1" applyBorder="1" applyAlignment="1">
      <alignment vertical="top" wrapText="1"/>
    </xf>
    <xf numFmtId="0" fontId="11" fillId="0" borderId="8" xfId="0" applyFont="1" applyBorder="1" applyAlignment="1">
      <alignment vertical="top" wrapText="1"/>
    </xf>
    <xf numFmtId="0" fontId="16" fillId="4" borderId="0" xfId="0" applyFont="1" applyFill="1" applyAlignment="1">
      <alignment horizontal="left" vertical="top" wrapText="1"/>
    </xf>
    <xf numFmtId="0" fontId="9" fillId="4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1</xdr:row>
      <xdr:rowOff>114300</xdr:rowOff>
    </xdr:from>
    <xdr:to>
      <xdr:col>13</xdr:col>
      <xdr:colOff>425450</xdr:colOff>
      <xdr:row>105</xdr:row>
      <xdr:rowOff>127000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76C15B5-BBEE-2316-137C-400F1F5B86A1}"/>
            </a:ext>
          </a:extLst>
        </xdr:cNvPr>
        <xdr:cNvSpPr txBox="1"/>
      </xdr:nvSpPr>
      <xdr:spPr>
        <a:xfrm>
          <a:off x="635000" y="273050"/>
          <a:ext cx="7715250" cy="1652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8000"/>
              </a:solidFill>
              <a:effectLst/>
              <a:latin typeface="Consolas" panose="020B0609020204030204" pitchFamily="49" charset="0"/>
            </a:rPr>
            <a:t>-- Values for both Average Revenue per Customer (ARPU) and Customer Lifetime Value (CLV) are shown in USD</a:t>
          </a:r>
        </a:p>
        <a:p>
          <a:pPr>
            <a:lnSpc>
              <a:spcPct val="113095"/>
            </a:lnSpc>
            <a:buNone/>
          </a:pPr>
          <a:endParaRPr lang="en-US" sz="1100" b="0">
            <a:solidFill>
              <a:srgbClr val="000000"/>
            </a:solidFill>
            <a:effectLst/>
            <a:latin typeface="Consolas" panose="020B0609020204030204" pitchFamily="49" charset="0"/>
          </a:endParaRP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WITH</a:t>
          </a:r>
          <a:endParaRPr lang="en-US" sz="1100" b="0">
            <a:solidFill>
              <a:srgbClr val="000000"/>
            </a:solidFill>
            <a:effectLst/>
            <a:latin typeface="Consolas" panose="020B0609020204030204" pitchFamily="49" charset="0"/>
          </a:endParaRPr>
        </a:p>
        <a:p>
          <a:pPr>
            <a:lnSpc>
              <a:spcPct val="113095"/>
            </a:lnSpc>
            <a:buNone/>
          </a:pPr>
          <a:endParaRPr lang="en-US" sz="1100" b="0">
            <a:solidFill>
              <a:srgbClr val="000000"/>
            </a:solidFill>
            <a:effectLst/>
            <a:latin typeface="Consolas" panose="020B0609020204030204" pitchFamily="49" charset="0"/>
          </a:endParaRP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registration_cohort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AS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(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SELECT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  user_pseudo_id,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  DATE_TRUNC(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     </a:t>
          </a:r>
          <a:r>
            <a:rPr lang="en-US" sz="1100" b="0">
              <a:solidFill>
                <a:srgbClr val="795E26"/>
              </a:solidFill>
              <a:effectLst/>
              <a:latin typeface="Consolas" panose="020B0609020204030204" pitchFamily="49" charset="0"/>
            </a:rPr>
            <a:t>MIN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(PARSE_DATE(</a:t>
          </a:r>
          <a:r>
            <a:rPr lang="en-US" sz="1100" b="0">
              <a:solidFill>
                <a:srgbClr val="A31515"/>
              </a:solidFill>
              <a:effectLst/>
              <a:latin typeface="Consolas" panose="020B0609020204030204" pitchFamily="49" charset="0"/>
            </a:rPr>
            <a:t>'%Y%m%d'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, event_date)), 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    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WEEK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(SUNDAY)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   )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AS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cohort_week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FROM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</a:t>
          </a:r>
          <a:r>
            <a:rPr lang="en-US" sz="1100" b="0">
              <a:solidFill>
                <a:srgbClr val="A31515"/>
              </a:solidFill>
              <a:effectLst/>
              <a:latin typeface="Consolas" panose="020B0609020204030204" pitchFamily="49" charset="0"/>
            </a:rPr>
            <a:t>`turing_data_analytics.raw_events`</a:t>
          </a:r>
          <a:endParaRPr lang="en-US" sz="1100" b="0">
            <a:solidFill>
              <a:srgbClr val="000000"/>
            </a:solidFill>
            <a:effectLst/>
            <a:latin typeface="Consolas" panose="020B0609020204030204" pitchFamily="49" charset="0"/>
          </a:endParaRP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WHERE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PARSE_DATE(</a:t>
          </a:r>
          <a:r>
            <a:rPr lang="en-US" sz="1100" b="0">
              <a:solidFill>
                <a:srgbClr val="A31515"/>
              </a:solidFill>
              <a:effectLst/>
              <a:latin typeface="Consolas" panose="020B0609020204030204" pitchFamily="49" charset="0"/>
            </a:rPr>
            <a:t>'%Y%m%d'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, event_date) &lt; </a:t>
          </a:r>
          <a:r>
            <a:rPr lang="en-US" sz="1100" b="0">
              <a:solidFill>
                <a:srgbClr val="A31515"/>
              </a:solidFill>
              <a:effectLst/>
              <a:latin typeface="Consolas" panose="020B0609020204030204" pitchFamily="49" charset="0"/>
            </a:rPr>
            <a:t>'2021-01-31'</a:t>
          </a:r>
          <a:endParaRPr lang="en-US" sz="1100" b="0">
            <a:solidFill>
              <a:srgbClr val="000000"/>
            </a:solidFill>
            <a:effectLst/>
            <a:latin typeface="Consolas" panose="020B0609020204030204" pitchFamily="49" charset="0"/>
          </a:endParaRP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GROUP BY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user_pseudo_id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),</a:t>
          </a:r>
        </a:p>
        <a:p>
          <a:pPr>
            <a:lnSpc>
              <a:spcPct val="113095"/>
            </a:lnSpc>
            <a:buNone/>
          </a:pPr>
          <a:endParaRPr lang="en-US" sz="1100" b="0">
            <a:solidFill>
              <a:srgbClr val="000000"/>
            </a:solidFill>
            <a:effectLst/>
            <a:latin typeface="Consolas" panose="020B0609020204030204" pitchFamily="49" charset="0"/>
          </a:endParaRP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revenue_data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AS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(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SELECT</a:t>
          </a:r>
          <a:endParaRPr lang="en-US" sz="1100" b="0">
            <a:solidFill>
              <a:srgbClr val="000000"/>
            </a:solidFill>
            <a:effectLst/>
            <a:latin typeface="Consolas" panose="020B0609020204030204" pitchFamily="49" charset="0"/>
          </a:endParaRP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  user_pseudo_id,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  DATE_TRUNC(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     PARSE_DATE(</a:t>
          </a:r>
          <a:r>
            <a:rPr lang="en-US" sz="1100" b="0">
              <a:solidFill>
                <a:srgbClr val="A31515"/>
              </a:solidFill>
              <a:effectLst/>
              <a:latin typeface="Consolas" panose="020B0609020204030204" pitchFamily="49" charset="0"/>
            </a:rPr>
            <a:t>'%Y%m%d'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, event_date), 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    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WEEK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(SUNDAY)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   )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AS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weeks,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  </a:t>
          </a:r>
          <a:r>
            <a:rPr lang="en-US" sz="1100" b="0">
              <a:solidFill>
                <a:srgbClr val="795E26"/>
              </a:solidFill>
              <a:effectLst/>
              <a:latin typeface="Consolas" panose="020B0609020204030204" pitchFamily="49" charset="0"/>
            </a:rPr>
            <a:t>SUM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(purchase_revenue_in_usd)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AS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revenue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FROM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</a:t>
          </a:r>
          <a:r>
            <a:rPr lang="en-US" sz="1100" b="0">
              <a:solidFill>
                <a:srgbClr val="A31515"/>
              </a:solidFill>
              <a:effectLst/>
              <a:latin typeface="Consolas" panose="020B0609020204030204" pitchFamily="49" charset="0"/>
            </a:rPr>
            <a:t>`turing_data_analytics.raw_events`</a:t>
          </a:r>
          <a:endParaRPr lang="en-US" sz="1100" b="0">
            <a:solidFill>
              <a:srgbClr val="000000"/>
            </a:solidFill>
            <a:effectLst/>
            <a:latin typeface="Consolas" panose="020B0609020204030204" pitchFamily="49" charset="0"/>
          </a:endParaRP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WHERE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event_name = </a:t>
          </a:r>
          <a:r>
            <a:rPr lang="en-US" sz="1100" b="0">
              <a:solidFill>
                <a:srgbClr val="A31515"/>
              </a:solidFill>
              <a:effectLst/>
              <a:latin typeface="Consolas" panose="020B0609020204030204" pitchFamily="49" charset="0"/>
            </a:rPr>
            <a:t>'purchase'</a:t>
          </a:r>
          <a:endParaRPr lang="en-US" sz="1100" b="0">
            <a:solidFill>
              <a:srgbClr val="000000"/>
            </a:solidFill>
            <a:effectLst/>
            <a:latin typeface="Consolas" panose="020B0609020204030204" pitchFamily="49" charset="0"/>
          </a:endParaRP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 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AND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PARSE_DATE(</a:t>
          </a:r>
          <a:r>
            <a:rPr lang="en-US" sz="1100" b="0">
              <a:solidFill>
                <a:srgbClr val="A31515"/>
              </a:solidFill>
              <a:effectLst/>
              <a:latin typeface="Consolas" panose="020B0609020204030204" pitchFamily="49" charset="0"/>
            </a:rPr>
            <a:t>'%Y%m%d'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, event_date) &lt; </a:t>
          </a:r>
          <a:r>
            <a:rPr lang="en-US" sz="1100" b="0">
              <a:solidFill>
                <a:srgbClr val="A31515"/>
              </a:solidFill>
              <a:effectLst/>
              <a:latin typeface="Consolas" panose="020B0609020204030204" pitchFamily="49" charset="0"/>
            </a:rPr>
            <a:t>'2021-01-31'</a:t>
          </a:r>
          <a:endParaRPr lang="en-US" sz="1100" b="0">
            <a:solidFill>
              <a:srgbClr val="000000"/>
            </a:solidFill>
            <a:effectLst/>
            <a:latin typeface="Consolas" panose="020B0609020204030204" pitchFamily="49" charset="0"/>
          </a:endParaRP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GROUP BY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user_pseudo_id, weeks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),</a:t>
          </a:r>
        </a:p>
        <a:p>
          <a:pPr>
            <a:lnSpc>
              <a:spcPct val="113095"/>
            </a:lnSpc>
            <a:buNone/>
          </a:pPr>
          <a:endParaRPr lang="en-US" sz="1100" b="0">
            <a:solidFill>
              <a:srgbClr val="000000"/>
            </a:solidFill>
            <a:effectLst/>
            <a:latin typeface="Consolas" panose="020B0609020204030204" pitchFamily="49" charset="0"/>
          </a:endParaRP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cohort_revenue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AS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(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SELECT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  rc.user_pseudo_id,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  rc.cohort_week,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  DATE_DIFF(rd.weeks, rc.cohort_week,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WEEK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)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AS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week_offset,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  </a:t>
          </a:r>
          <a:r>
            <a:rPr lang="en-US" sz="1100" b="0">
              <a:solidFill>
                <a:srgbClr val="795E26"/>
              </a:solidFill>
              <a:effectLst/>
              <a:latin typeface="Consolas" panose="020B0609020204030204" pitchFamily="49" charset="0"/>
            </a:rPr>
            <a:t>SUM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(</a:t>
          </a:r>
          <a:r>
            <a:rPr lang="en-US" sz="1100" b="0">
              <a:solidFill>
                <a:srgbClr val="795E26"/>
              </a:solidFill>
              <a:effectLst/>
              <a:latin typeface="Consolas" panose="020B0609020204030204" pitchFamily="49" charset="0"/>
            </a:rPr>
            <a:t>COALESCE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(rd.revenue, </a:t>
          </a:r>
          <a:r>
            <a:rPr lang="en-US" sz="1100" b="0">
              <a:solidFill>
                <a:srgbClr val="098658"/>
              </a:solidFill>
              <a:effectLst/>
              <a:latin typeface="Consolas" panose="020B0609020204030204" pitchFamily="49" charset="0"/>
            </a:rPr>
            <a:t>0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))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AS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total_revenue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FROM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revenue_data rd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LEFT JOIN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registration_cohort rc 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 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ON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rc.user_pseudo_id = rd.user_pseudo_id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GROUP BY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rc.user_pseudo_id, rc.cohort_week, week_offset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),</a:t>
          </a:r>
        </a:p>
        <a:p>
          <a:pPr>
            <a:lnSpc>
              <a:spcPct val="113095"/>
            </a:lnSpc>
            <a:buNone/>
          </a:pPr>
          <a:endParaRPr lang="en-US" sz="1100" b="0">
            <a:solidFill>
              <a:srgbClr val="000000"/>
            </a:solidFill>
            <a:effectLst/>
            <a:latin typeface="Consolas" panose="020B0609020204030204" pitchFamily="49" charset="0"/>
          </a:endParaRP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cohort_sizes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AS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(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SELECT</a:t>
          </a:r>
          <a:endParaRPr lang="en-US" sz="1100" b="0">
            <a:solidFill>
              <a:srgbClr val="000000"/>
            </a:solidFill>
            <a:effectLst/>
            <a:latin typeface="Consolas" panose="020B0609020204030204" pitchFamily="49" charset="0"/>
          </a:endParaRP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  cohort_week,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  </a:t>
          </a:r>
          <a:r>
            <a:rPr lang="en-US" sz="1100" b="0">
              <a:solidFill>
                <a:srgbClr val="795E26"/>
              </a:solidFill>
              <a:effectLst/>
              <a:latin typeface="Consolas" panose="020B0609020204030204" pitchFamily="49" charset="0"/>
            </a:rPr>
            <a:t>COUNT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(user_pseudo_id)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AS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total_customers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FROM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registration_cohort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GROUP BY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cohort_week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),</a:t>
          </a:r>
        </a:p>
        <a:p>
          <a:pPr>
            <a:lnSpc>
              <a:spcPct val="113095"/>
            </a:lnSpc>
            <a:buNone/>
          </a:pPr>
          <a:b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</a:br>
          <a:endParaRPr lang="en-US" sz="1100" b="0">
            <a:solidFill>
              <a:srgbClr val="000000"/>
            </a:solidFill>
            <a:effectLst/>
            <a:latin typeface="Consolas" panose="020B0609020204030204" pitchFamily="49" charset="0"/>
          </a:endParaRP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cohort_avg_revenue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AS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(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SELECT</a:t>
          </a:r>
          <a:endParaRPr lang="en-US" sz="1100" b="0">
            <a:solidFill>
              <a:srgbClr val="000000"/>
            </a:solidFill>
            <a:effectLst/>
            <a:latin typeface="Consolas" panose="020B0609020204030204" pitchFamily="49" charset="0"/>
          </a:endParaRP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  cr.cohort_week,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  cr.week_offset,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  </a:t>
          </a:r>
          <a:r>
            <a:rPr lang="en-US" sz="1100" b="0">
              <a:solidFill>
                <a:srgbClr val="795E26"/>
              </a:solidFill>
              <a:effectLst/>
              <a:latin typeface="Consolas" panose="020B0609020204030204" pitchFamily="49" charset="0"/>
            </a:rPr>
            <a:t>SUM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(cr.total_revenue / cs.total_customers)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AS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arpu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FROM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cohort_revenue cr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JOIN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cohort_sizes cs 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 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ON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cs.cohort_week = cr.cohort_week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GROUP BY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cr.cohort_week, cr.week_offset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),</a:t>
          </a:r>
        </a:p>
        <a:p>
          <a:pPr>
            <a:lnSpc>
              <a:spcPct val="113095"/>
            </a:lnSpc>
            <a:buNone/>
          </a:pPr>
          <a:b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</a:br>
          <a:endParaRPr lang="en-US" sz="1100" b="0">
            <a:solidFill>
              <a:srgbClr val="000000"/>
            </a:solidFill>
            <a:effectLst/>
            <a:latin typeface="Consolas" panose="020B0609020204030204" pitchFamily="49" charset="0"/>
          </a:endParaRP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cumulative_values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AS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(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SELECT</a:t>
          </a:r>
          <a:endParaRPr lang="en-US" sz="1100" b="0">
            <a:solidFill>
              <a:srgbClr val="000000"/>
            </a:solidFill>
            <a:effectLst/>
            <a:latin typeface="Consolas" panose="020B0609020204030204" pitchFamily="49" charset="0"/>
          </a:endParaRP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  cohort_week,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  week_offset,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  </a:t>
          </a:r>
          <a:r>
            <a:rPr lang="en-US" sz="1100" b="0">
              <a:solidFill>
                <a:srgbClr val="795E26"/>
              </a:solidFill>
              <a:effectLst/>
              <a:latin typeface="Consolas" panose="020B0609020204030204" pitchFamily="49" charset="0"/>
            </a:rPr>
            <a:t>SUM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(arpu)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OVER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(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PARTITION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BY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cohort_week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ORDER BY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week_offset)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AS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cumulative_clv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FROM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cohort_avg_revenue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GROUP BY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cohort_week, week_offset, arpu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)</a:t>
          </a:r>
        </a:p>
        <a:p>
          <a:pPr>
            <a:lnSpc>
              <a:spcPct val="113095"/>
            </a:lnSpc>
            <a:buNone/>
          </a:pPr>
          <a:b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</a:br>
          <a:endParaRPr lang="en-US" sz="1100" b="0">
            <a:solidFill>
              <a:srgbClr val="000000"/>
            </a:solidFill>
            <a:effectLst/>
            <a:latin typeface="Consolas" panose="020B0609020204030204" pitchFamily="49" charset="0"/>
          </a:endParaRP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SELECT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cv.cohort_week,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cv.week_offset,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car.arpu,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cv.cumulative_clv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FROM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cohort_avg_revenue car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JOIN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cumulative_values cv 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ON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cv.cohort_week = car.cohort_week 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  </a:t>
          </a: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AND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cv.week_offset = car.week_offset</a:t>
          </a:r>
        </a:p>
        <a:p>
          <a:pPr>
            <a:lnSpc>
              <a:spcPct val="113095"/>
            </a:lnSpc>
            <a:buNone/>
          </a:pPr>
          <a:r>
            <a:rPr lang="en-US" sz="1100" b="0">
              <a:solidFill>
                <a:srgbClr val="0000FF"/>
              </a:solidFill>
              <a:effectLst/>
              <a:latin typeface="Consolas" panose="020B0609020204030204" pitchFamily="49" charset="0"/>
            </a:rPr>
            <a:t>ORDER BY</a:t>
          </a:r>
          <a: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  <a:t> cv.cohort_week, cv.week_offset</a:t>
          </a:r>
        </a:p>
        <a:p>
          <a:pPr>
            <a:lnSpc>
              <a:spcPct val="113095"/>
            </a:lnSpc>
            <a:buNone/>
          </a:pPr>
          <a:br>
            <a:rPr lang="en-US" sz="1100" b="0">
              <a:solidFill>
                <a:srgbClr val="000000"/>
              </a:solidFill>
              <a:effectLst/>
              <a:latin typeface="Consolas" panose="020B0609020204030204" pitchFamily="49" charset="0"/>
            </a:rPr>
          </a:br>
          <a:endParaRPr lang="en-US" sz="1100" b="0">
            <a:solidFill>
              <a:srgbClr val="000000"/>
            </a:solidFill>
            <a:effectLst/>
            <a:latin typeface="Consolas" panose="020B0609020204030204" pitchFamily="49" charset="0"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S64"/>
  <sheetViews>
    <sheetView showGridLines="0" tabSelected="1" zoomScale="70" zoomScaleNormal="70" workbookViewId="0">
      <selection activeCell="R4" sqref="R4"/>
    </sheetView>
  </sheetViews>
  <sheetFormatPr defaultColWidth="12.6328125" defaultRowHeight="15.75" customHeight="1" x14ac:dyDescent="0.25"/>
  <cols>
    <col min="1" max="1" width="26.453125" bestFit="1" customWidth="1"/>
    <col min="13" max="13" width="18" bestFit="1" customWidth="1"/>
  </cols>
  <sheetData>
    <row r="2" spans="1:19" ht="70" customHeight="1" x14ac:dyDescent="0.25">
      <c r="B2" s="24" t="s">
        <v>10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3" spans="1:19" ht="13.5" customHeight="1" x14ac:dyDescent="0.25"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13"/>
      <c r="Q3" s="13"/>
    </row>
    <row r="4" spans="1:19" ht="275" customHeight="1" x14ac:dyDescent="0.25">
      <c r="B4" s="37" t="s">
        <v>17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13"/>
      <c r="Q4" s="13"/>
    </row>
    <row r="5" spans="1:19" ht="13.5" customHeight="1" x14ac:dyDescent="0.25"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13"/>
      <c r="Q5" s="13"/>
    </row>
    <row r="6" spans="1:19" ht="14.5" customHeight="1" x14ac:dyDescent="0.35">
      <c r="A6" s="26" t="s">
        <v>12</v>
      </c>
    </row>
    <row r="8" spans="1:19" ht="13" x14ac:dyDescent="0.3">
      <c r="A8" s="1"/>
      <c r="B8" s="6" t="s">
        <v>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spans="1:19" ht="13" x14ac:dyDescent="0.3">
      <c r="A9" s="21" t="s">
        <v>9</v>
      </c>
      <c r="B9" s="22" cm="1">
        <f t="array" ref="B9:N9">_xlfn.TOROW(_xlfn.UNIQUE(Data!B2:B91))</f>
        <v>0</v>
      </c>
      <c r="C9" s="22">
        <v>1</v>
      </c>
      <c r="D9" s="22">
        <v>2</v>
      </c>
      <c r="E9" s="22">
        <v>3</v>
      </c>
      <c r="F9" s="22">
        <v>4</v>
      </c>
      <c r="G9" s="22">
        <v>5</v>
      </c>
      <c r="H9" s="22">
        <v>6</v>
      </c>
      <c r="I9" s="22">
        <v>7</v>
      </c>
      <c r="J9" s="22">
        <v>8</v>
      </c>
      <c r="K9" s="22">
        <v>9</v>
      </c>
      <c r="L9" s="22">
        <v>10</v>
      </c>
      <c r="M9" s="22">
        <v>11</v>
      </c>
      <c r="N9" s="22">
        <v>12</v>
      </c>
    </row>
    <row r="10" spans="1:19" ht="12.5" customHeight="1" x14ac:dyDescent="0.25">
      <c r="A10" s="14" cm="1">
        <f t="array" ref="A10:A22">_xlfn.UNIQUE(Data!A2:A91)</f>
        <v>44136</v>
      </c>
      <c r="B10" s="17" cm="1">
        <f t="array" ref="B10">IFERROR(INDEX(Data!$C:$C, MATCH($A10 &amp; B$9, Data!$A:$A &amp; Data!$B:$B, 0)), 0)</f>
        <v>0.93799183185576196</v>
      </c>
      <c r="C10" s="17" cm="1">
        <f t="array" ref="C10">IFERROR(INDEX(Data!$C:$C, MATCH($A10 &amp; C$9, Data!$A:$A &amp; Data!$B:$B, 0)), 0)</f>
        <v>0.32637712919613499</v>
      </c>
      <c r="D10" s="17" cm="1">
        <f t="array" ref="D10">IFERROR(INDEX(Data!$C:$C, MATCH($A10 &amp; D$9, Data!$A:$A &amp; Data!$B:$B, 0)), 0)</f>
        <v>0.26720788923199501</v>
      </c>
      <c r="E10" s="17" cm="1">
        <f t="array" ref="E10">IFERROR(INDEX(Data!$C:$C, MATCH($A10 &amp; E$9, Data!$A:$A &amp; Data!$B:$B, 0)), 0)</f>
        <v>0.26172925590198198</v>
      </c>
      <c r="F10" s="17" cm="1">
        <f t="array" ref="F10">IFERROR(INDEX(Data!$C:$C, MATCH($A10 &amp; F$9, Data!$A:$A &amp; Data!$B:$B, 0)), 0)</f>
        <v>0.15987648172128699</v>
      </c>
      <c r="G10" s="17" cm="1">
        <f t="array" ref="G10">IFERROR(INDEX(Data!$C:$C, MATCH($A10 &amp; G$9, Data!$A:$A &amp; Data!$B:$B, 0)), 0)</f>
        <v>0.15320251021018</v>
      </c>
      <c r="H10" s="17" cm="1">
        <f t="array" ref="H10">IFERROR(INDEX(Data!$C:$C, MATCH($A10 &amp; H$9, Data!$A:$A &amp; Data!$B:$B, 0)), 0)</f>
        <v>0.165305309293754</v>
      </c>
      <c r="I10" s="17" cm="1">
        <f t="array" ref="I10">IFERROR(INDEX(Data!$C:$C, MATCH($A10 &amp; I$9, Data!$A:$A &amp; Data!$B:$B, 0)), 0)</f>
        <v>2.5002490287877301E-2</v>
      </c>
      <c r="J10" s="17" cm="1">
        <f t="array" ref="J10">IFERROR(INDEX(Data!$C:$C, MATCH($A10 &amp; J$9, Data!$A:$A &amp; Data!$B:$B, 0)), 0)</f>
        <v>7.8195039346548399E-3</v>
      </c>
      <c r="K10" s="17" cm="1">
        <f t="array" ref="K10">IFERROR(INDEX(Data!$C:$C, MATCH($A10 &amp; K$9, Data!$A:$A &amp; Data!$B:$B, 0)), 0)</f>
        <v>1.37961948401235E-2</v>
      </c>
      <c r="L10" s="17" cm="1">
        <f t="array" ref="L10">IFERROR(INDEX(Data!$C:$C, MATCH($A10 &amp; L$9, Data!$A:$A &amp; Data!$B:$B, 0)), 0)</f>
        <v>2.31596772586911E-2</v>
      </c>
      <c r="M10" s="17" cm="1">
        <f t="array" ref="M10">IFERROR(INDEX(Data!$C:$C, MATCH($A10 &amp; M$9, Data!$A:$A &amp; Data!$B:$B, 0)), 0)</f>
        <v>1.4941727263671699E-2</v>
      </c>
      <c r="N10" s="17" cm="1">
        <f t="array" ref="N10">IFERROR(INDEX(Data!$C:$C, MATCH($A10 &amp; N$9, Data!$A:$A &amp; Data!$B:$B, 0)), 0)</f>
        <v>1.8179101504133901E-2</v>
      </c>
      <c r="P10" s="29" t="s">
        <v>11</v>
      </c>
      <c r="Q10" s="30"/>
      <c r="R10" s="30"/>
      <c r="S10" s="31"/>
    </row>
    <row r="11" spans="1:19" ht="12.5" customHeight="1" x14ac:dyDescent="0.25">
      <c r="A11" s="14">
        <v>44143</v>
      </c>
      <c r="B11" s="17" cm="1">
        <f t="array" ref="B11">IFERROR(INDEX(Data!$C:$C, MATCH($A11 &amp; B$9, Data!$A:$A &amp; Data!$B:$B, 0)), 0)</f>
        <v>1.1919664859536701</v>
      </c>
      <c r="C11" s="17" cm="1">
        <f t="array" ref="C11">IFERROR(INDEX(Data!$C:$C, MATCH($A11 &amp; C$9, Data!$A:$A &amp; Data!$B:$B, 0)), 0)</f>
        <v>0.38128388368654498</v>
      </c>
      <c r="D11" s="17" cm="1">
        <f t="array" ref="D11">IFERROR(INDEX(Data!$C:$C, MATCH($A11 &amp; D$9, Data!$A:$A &amp; Data!$B:$B, 0)), 0)</f>
        <v>0.28123459832429798</v>
      </c>
      <c r="E11" s="17" cm="1">
        <f t="array" ref="E11">IFERROR(INDEX(Data!$C:$C, MATCH($A11 &amp; E$9, Data!$A:$A &amp; Data!$B:$B, 0)), 0)</f>
        <v>0.22930014785608699</v>
      </c>
      <c r="F11" s="17" cm="1">
        <f t="array" ref="F11">IFERROR(INDEX(Data!$C:$C, MATCH($A11 &amp; F$9, Data!$A:$A &amp; Data!$B:$B, 0)), 0)</f>
        <v>0.27655248891079298</v>
      </c>
      <c r="G11" s="17" cm="1">
        <f t="array" ref="G11">IFERROR(INDEX(Data!$C:$C, MATCH($A11 &amp; G$9, Data!$A:$A &amp; Data!$B:$B, 0)), 0)</f>
        <v>0.10448496796451499</v>
      </c>
      <c r="H11" s="17" cm="1">
        <f t="array" ref="H11">IFERROR(INDEX(Data!$C:$C, MATCH($A11 &amp; H$9, Data!$A:$A &amp; Data!$B:$B, 0)), 0)</f>
        <v>3.9366683095120703E-2</v>
      </c>
      <c r="I11" s="17" cm="1">
        <f t="array" ref="I11">IFERROR(INDEX(Data!$C:$C, MATCH($A11 &amp; I$9, Data!$A:$A &amp; Data!$B:$B, 0)), 0)</f>
        <v>6.9369147363233102E-2</v>
      </c>
      <c r="J11" s="17" cm="1">
        <f t="array" ref="J11">IFERROR(INDEX(Data!$C:$C, MATCH($A11 &amp; J$9, Data!$A:$A &amp; Data!$B:$B, 0)), 0)</f>
        <v>0</v>
      </c>
      <c r="K11" s="17" cm="1">
        <f t="array" ref="K11">IFERROR(INDEX(Data!$C:$C, MATCH($A11 &amp; K$9, Data!$A:$A &amp; Data!$B:$B, 0)), 0)</f>
        <v>1.2013307047806799E-2</v>
      </c>
      <c r="L11" s="17" cm="1">
        <f t="array" ref="L11">IFERROR(INDEX(Data!$C:$C, MATCH($A11 &amp; L$9, Data!$A:$A &amp; Data!$B:$B, 0)), 0)</f>
        <v>3.5485460818136999E-2</v>
      </c>
      <c r="M11" s="17" cm="1">
        <f t="array" ref="M11">IFERROR(INDEX(Data!$C:$C, MATCH($A11 &amp; M$9, Data!$A:$A &amp; Data!$B:$B, 0)), 0)</f>
        <v>2.0515032035485499E-2</v>
      </c>
      <c r="N11" s="18"/>
      <c r="P11" s="32"/>
      <c r="Q11" s="28"/>
      <c r="R11" s="28"/>
      <c r="S11" s="33"/>
    </row>
    <row r="12" spans="1:19" ht="12.5" customHeight="1" x14ac:dyDescent="0.25">
      <c r="A12" s="14">
        <v>44150</v>
      </c>
      <c r="B12" s="17" cm="1">
        <f t="array" ref="B12">IFERROR(INDEX(Data!$C:$C, MATCH($A12 &amp; B$9, Data!$A:$A &amp; Data!$B:$B, 0)), 0)</f>
        <v>1.3817315774726799</v>
      </c>
      <c r="C12" s="17" cm="1">
        <f t="array" ref="C12">IFERROR(INDEX(Data!$C:$C, MATCH($A12 &amp; C$9, Data!$A:$A &amp; Data!$B:$B, 0)), 0)</f>
        <v>0.296777808910059</v>
      </c>
      <c r="D12" s="17" cm="1">
        <f t="array" ref="D12">IFERROR(INDEX(Data!$C:$C, MATCH($A12 &amp; D$9, Data!$A:$A &amp; Data!$B:$B, 0)), 0)</f>
        <v>0.21871672737461501</v>
      </c>
      <c r="E12" s="17" cm="1">
        <f t="array" ref="E12">IFERROR(INDEX(Data!$C:$C, MATCH($A12 &amp; E$9, Data!$A:$A &amp; Data!$B:$B, 0)), 0)</f>
        <v>0.227570748108714</v>
      </c>
      <c r="F12" s="17" cm="1">
        <f t="array" ref="F12">IFERROR(INDEX(Data!$C:$C, MATCH($A12 &amp; F$9, Data!$A:$A &amp; Data!$B:$B, 0)), 0)</f>
        <v>0.167105631829644</v>
      </c>
      <c r="G12" s="17" cm="1">
        <f t="array" ref="G12">IFERROR(INDEX(Data!$C:$C, MATCH($A12 &amp; G$9, Data!$A:$A &amp; Data!$B:$B, 0)), 0)</f>
        <v>2.56094144017932E-2</v>
      </c>
      <c r="H12" s="17" cm="1">
        <f t="array" ref="H12">IFERROR(INDEX(Data!$C:$C, MATCH($A12 &amp; H$9, Data!$A:$A &amp; Data!$B:$B, 0)), 0)</f>
        <v>2.8803586438778402E-2</v>
      </c>
      <c r="I12" s="17" cm="1">
        <f t="array" ref="I12">IFERROR(INDEX(Data!$C:$C, MATCH($A12 &amp; I$9, Data!$A:$A &amp; Data!$B:$B, 0)), 0)</f>
        <v>2.2022975623423899E-2</v>
      </c>
      <c r="J12" s="17" cm="1">
        <f t="array" ref="J12">IFERROR(INDEX(Data!$C:$C, MATCH($A12 &amp; J$9, Data!$A:$A &amp; Data!$B:$B, 0)), 0)</f>
        <v>2.0958251611095501E-2</v>
      </c>
      <c r="K12" s="17" cm="1">
        <f t="array" ref="K12">IFERROR(INDEX(Data!$C:$C, MATCH($A12 &amp; K$9, Data!$A:$A &amp; Data!$B:$B, 0)), 0)</f>
        <v>6.22022975623424E-3</v>
      </c>
      <c r="L12" s="17" cm="1">
        <f t="array" ref="L12">IFERROR(INDEX(Data!$C:$C, MATCH($A12 &amp; L$9, Data!$A:$A &amp; Data!$B:$B, 0)), 0)</f>
        <v>4.4270103670495898E-3</v>
      </c>
      <c r="M12" s="18"/>
      <c r="N12" s="18"/>
      <c r="P12" s="32"/>
      <c r="Q12" s="28"/>
      <c r="R12" s="28"/>
      <c r="S12" s="33"/>
    </row>
    <row r="13" spans="1:19" ht="12.5" customHeight="1" x14ac:dyDescent="0.25">
      <c r="A13" s="14">
        <v>44157</v>
      </c>
      <c r="B13" s="17" cm="1">
        <f t="array" ref="B13">IFERROR(INDEX(Data!$C:$C, MATCH($A13 &amp; B$9, Data!$A:$A &amp; Data!$B:$B, 0)), 0)</f>
        <v>1.6472475429036999</v>
      </c>
      <c r="C13" s="17" cm="1">
        <f t="array" ref="C13">IFERROR(INDEX(Data!$C:$C, MATCH($A13 &amp; C$9, Data!$A:$A &amp; Data!$B:$B, 0)), 0)</f>
        <v>0.23588124458929599</v>
      </c>
      <c r="D13" s="17" cm="1">
        <f t="array" ref="D13">IFERROR(INDEX(Data!$C:$C, MATCH($A13 &amp; D$9, Data!$A:$A &amp; Data!$B:$B, 0)), 0)</f>
        <v>0.22533991953964499</v>
      </c>
      <c r="E13" s="17" cm="1">
        <f t="array" ref="E13">IFERROR(INDEX(Data!$C:$C, MATCH($A13 &amp; E$9, Data!$A:$A &amp; Data!$B:$B, 0)), 0)</f>
        <v>0.119366502011509</v>
      </c>
      <c r="F13" s="17" cm="1">
        <f t="array" ref="F13">IFERROR(INDEX(Data!$C:$C, MATCH($A13 &amp; F$9, Data!$A:$A &amp; Data!$B:$B, 0)), 0)</f>
        <v>3.7021948362784503E-2</v>
      </c>
      <c r="G13" s="17" cm="1">
        <f t="array" ref="G13">IFERROR(INDEX(Data!$C:$C, MATCH($A13 &amp; G$9, Data!$A:$A &amp; Data!$B:$B, 0)), 0)</f>
        <v>1.32403116565667E-2</v>
      </c>
      <c r="H13" s="17" cm="1">
        <f t="array" ref="H13">IFERROR(INDEX(Data!$C:$C, MATCH($A13 &amp; H$9, Data!$A:$A &amp; Data!$B:$B, 0)), 0)</f>
        <v>6.4164587258746198E-3</v>
      </c>
      <c r="I13" s="17" cm="1">
        <f t="array" ref="I13">IFERROR(INDEX(Data!$C:$C, MATCH($A13 &amp; I$9, Data!$A:$A &amp; Data!$B:$B, 0)), 0)</f>
        <v>1.05922493252533E-2</v>
      </c>
      <c r="J13" s="17" cm="1">
        <f t="array" ref="J13">IFERROR(INDEX(Data!$C:$C, MATCH($A13 &amp; J$9, Data!$A:$A &amp; Data!$B:$B, 0)), 0)</f>
        <v>3.4577583133879902E-2</v>
      </c>
      <c r="K13" s="17" cm="1">
        <f t="array" ref="K13">IFERROR(INDEX(Data!$C:$C, MATCH($A13 &amp; K$9, Data!$A:$A &amp; Data!$B:$B, 0)), 0)</f>
        <v>3.7683963945612901E-3</v>
      </c>
      <c r="L13" s="18"/>
      <c r="M13" s="18"/>
      <c r="N13" s="18"/>
      <c r="P13" s="32"/>
      <c r="Q13" s="28"/>
      <c r="R13" s="28"/>
      <c r="S13" s="33"/>
    </row>
    <row r="14" spans="1:19" ht="12.5" customHeight="1" x14ac:dyDescent="0.25">
      <c r="A14" s="14">
        <v>44164</v>
      </c>
      <c r="B14" s="17" cm="1">
        <f t="array" ref="B14">IFERROR(INDEX(Data!$C:$C, MATCH($A14 &amp; B$9, Data!$A:$A &amp; Data!$B:$B, 0)), 0)</f>
        <v>1.31940339229685</v>
      </c>
      <c r="C14" s="17" cm="1">
        <f t="array" ref="C14">IFERROR(INDEX(Data!$C:$C, MATCH($A14 &amp; C$9, Data!$A:$A &amp; Data!$B:$B, 0)), 0)</f>
        <v>0.36342139966349901</v>
      </c>
      <c r="D14" s="17" cm="1">
        <f t="array" ref="D14">IFERROR(INDEX(Data!$C:$C, MATCH($A14 &amp; D$9, Data!$A:$A &amp; Data!$B:$B, 0)), 0)</f>
        <v>0.24328134236733201</v>
      </c>
      <c r="E14" s="17" cm="1">
        <f t="array" ref="E14">IFERROR(INDEX(Data!$C:$C, MATCH($A14 &amp; E$9, Data!$A:$A &amp; Data!$B:$B, 0)), 0)</f>
        <v>4.8019644399981798E-2</v>
      </c>
      <c r="F14" s="17" cm="1">
        <f t="array" ref="F14">IFERROR(INDEX(Data!$C:$C, MATCH($A14 &amp; F$9, Data!$A:$A &amp; Data!$B:$B, 0)), 0)</f>
        <v>1.24141694329498E-2</v>
      </c>
      <c r="G14" s="17" cm="1">
        <f t="array" ref="G14">IFERROR(INDEX(Data!$C:$C, MATCH($A14 &amp; G$9, Data!$A:$A &amp; Data!$B:$B, 0)), 0)</f>
        <v>2.2145423127643098E-2</v>
      </c>
      <c r="H14" s="17" cm="1">
        <f t="array" ref="H14">IFERROR(INDEX(Data!$C:$C, MATCH($A14 &amp; H$9, Data!$A:$A &amp; Data!$B:$B, 0)), 0)</f>
        <v>6.0934018462098097E-3</v>
      </c>
      <c r="I14" s="17" cm="1">
        <f t="array" ref="I14">IFERROR(INDEX(Data!$C:$C, MATCH($A14 &amp; I$9, Data!$A:$A &amp; Data!$B:$B, 0)), 0)</f>
        <v>1.19594379518894E-2</v>
      </c>
      <c r="J14" s="17" cm="1">
        <f t="array" ref="J14">IFERROR(INDEX(Data!$C:$C, MATCH($A14 &amp; J$9, Data!$A:$A &amp; Data!$B:$B, 0)), 0)</f>
        <v>5.4113046246191598E-3</v>
      </c>
      <c r="K14" s="18"/>
      <c r="L14" s="18"/>
      <c r="M14" s="18"/>
      <c r="N14" s="18"/>
      <c r="P14" s="32"/>
      <c r="Q14" s="28"/>
      <c r="R14" s="28"/>
      <c r="S14" s="33"/>
    </row>
    <row r="15" spans="1:19" ht="12.5" customHeight="1" x14ac:dyDescent="0.25">
      <c r="A15" s="14">
        <v>44171</v>
      </c>
      <c r="B15" s="17" cm="1">
        <f t="array" ref="B15">IFERROR(INDEX(Data!$C:$C, MATCH($A15 &amp; B$9, Data!$A:$A &amp; Data!$B:$B, 0)), 0)</f>
        <v>1.2025722327122399</v>
      </c>
      <c r="C15" s="17" cm="1">
        <f t="array" ref="C15">IFERROR(INDEX(Data!$C:$C, MATCH($A15 &amp; C$9, Data!$A:$A &amp; Data!$B:$B, 0)), 0)</f>
        <v>0.32943817022337801</v>
      </c>
      <c r="D15" s="17" cm="1">
        <f t="array" ref="D15">IFERROR(INDEX(Data!$C:$C, MATCH($A15 &amp; D$9, Data!$A:$A &amp; Data!$B:$B, 0)), 0)</f>
        <v>8.1477786882325695E-2</v>
      </c>
      <c r="E15" s="17" cm="1">
        <f t="array" ref="E15">IFERROR(INDEX(Data!$C:$C, MATCH($A15 &amp; E$9, Data!$A:$A &amp; Data!$B:$B, 0)), 0)</f>
        <v>3.44151911361288E-2</v>
      </c>
      <c r="F15" s="17" cm="1">
        <f t="array" ref="F15">IFERROR(INDEX(Data!$C:$C, MATCH($A15 &amp; F$9, Data!$A:$A &amp; Data!$B:$B, 0)), 0)</f>
        <v>2.0841497737717801E-2</v>
      </c>
      <c r="G15" s="17" cm="1">
        <f t="array" ref="G15">IFERROR(INDEX(Data!$C:$C, MATCH($A15 &amp; G$9, Data!$A:$A &amp; Data!$B:$B, 0)), 0)</f>
        <v>2.6933627845666001E-2</v>
      </c>
      <c r="H15" s="17" cm="1">
        <f t="array" ref="H15">IFERROR(INDEX(Data!$C:$C, MATCH($A15 &amp; H$9, Data!$A:$A &amp; Data!$B:$B, 0)), 0)</f>
        <v>2.4404146923652399E-2</v>
      </c>
      <c r="I15" s="17" cm="1">
        <f t="array" ref="I15">IFERROR(INDEX(Data!$C:$C, MATCH($A15 &amp; I$9, Data!$A:$A &amp; Data!$B:$B, 0)), 0)</f>
        <v>2.2088424952794901E-3</v>
      </c>
      <c r="J15" s="18"/>
      <c r="K15" s="18"/>
      <c r="L15" s="18"/>
      <c r="M15" s="18"/>
      <c r="N15" s="18"/>
      <c r="P15" s="32"/>
      <c r="Q15" s="28"/>
      <c r="R15" s="28"/>
      <c r="S15" s="33"/>
    </row>
    <row r="16" spans="1:19" ht="12.5" customHeight="1" x14ac:dyDescent="0.25">
      <c r="A16" s="14">
        <v>44178</v>
      </c>
      <c r="B16" s="17" cm="1">
        <f t="array" ref="B16">IFERROR(INDEX(Data!$C:$C, MATCH($A16 &amp; B$9, Data!$A:$A &amp; Data!$B:$B, 0)), 0)</f>
        <v>1.00822963463603</v>
      </c>
      <c r="C16" s="17" cm="1">
        <f t="array" ref="C16">IFERROR(INDEX(Data!$C:$C, MATCH($A16 &amp; C$9, Data!$A:$A &amp; Data!$B:$B, 0)), 0)</f>
        <v>0.107820140738679</v>
      </c>
      <c r="D16" s="17" cm="1">
        <f t="array" ref="D16">IFERROR(INDEX(Data!$C:$C, MATCH($A16 &amp; D$9, Data!$A:$A &amp; Data!$B:$B, 0)), 0)</f>
        <v>4.0233769331690102E-2</v>
      </c>
      <c r="E16" s="17" cm="1">
        <f t="array" ref="E16">IFERROR(INDEX(Data!$C:$C, MATCH($A16 &amp; E$9, Data!$A:$A &amp; Data!$B:$B, 0)), 0)</f>
        <v>3.0215083687830501E-2</v>
      </c>
      <c r="F16" s="17" cm="1">
        <f t="array" ref="F16">IFERROR(INDEX(Data!$C:$C, MATCH($A16 &amp; F$9, Data!$A:$A &amp; Data!$B:$B, 0)), 0)</f>
        <v>4.0830119667634099E-2</v>
      </c>
      <c r="G16" s="17" cm="1">
        <f t="array" ref="G16">IFERROR(INDEX(Data!$C:$C, MATCH($A16 &amp; G$9, Data!$A:$A &amp; Data!$B:$B, 0)), 0)</f>
        <v>2.9817516797201099E-2</v>
      </c>
      <c r="H16" s="17" cm="1">
        <f t="array" ref="H16">IFERROR(INDEX(Data!$C:$C, MATCH($A16 &amp; H$9, Data!$A:$A &amp; Data!$B:$B, 0)), 0)</f>
        <v>3.9756689062934802E-4</v>
      </c>
      <c r="I16" s="18"/>
      <c r="J16" s="18"/>
      <c r="K16" s="18"/>
      <c r="L16" s="18"/>
      <c r="M16" s="18"/>
      <c r="N16" s="18"/>
      <c r="P16" s="32"/>
      <c r="Q16" s="28"/>
      <c r="R16" s="28"/>
      <c r="S16" s="33"/>
    </row>
    <row r="17" spans="1:19" ht="12.5" customHeight="1" x14ac:dyDescent="0.25">
      <c r="A17" s="14">
        <v>44185</v>
      </c>
      <c r="B17" s="17" cm="1">
        <f t="array" ref="B17">IFERROR(INDEX(Data!$C:$C, MATCH($A17 &amp; B$9, Data!$A:$A &amp; Data!$B:$B, 0)), 0)</f>
        <v>0.36870443073471698</v>
      </c>
      <c r="C17" s="17" cm="1">
        <f t="array" ref="C17">IFERROR(INDEX(Data!$C:$C, MATCH($A17 &amp; C$9, Data!$A:$A &amp; Data!$B:$B, 0)), 0)</f>
        <v>5.38418395961862E-2</v>
      </c>
      <c r="D17" s="17" cm="1">
        <f t="array" ref="D17">IFERROR(INDEX(Data!$C:$C, MATCH($A17 &amp; D$9, Data!$A:$A &amp; Data!$B:$B, 0)), 0)</f>
        <v>2.0919798093101499E-2</v>
      </c>
      <c r="E17" s="17" cm="1">
        <f t="array" ref="E17">IFERROR(INDEX(Data!$C:$C, MATCH($A17 &amp; E$9, Data!$A:$A &amp; Data!$B:$B, 0)), 0)</f>
        <v>2.3275378575434699E-2</v>
      </c>
      <c r="F17" s="17" cm="1">
        <f t="array" ref="F17">IFERROR(INDEX(Data!$C:$C, MATCH($A17 &amp; F$9, Data!$A:$A &amp; Data!$B:$B, 0)), 0)</f>
        <v>1.8003365114974801E-2</v>
      </c>
      <c r="G17" s="17" cm="1">
        <f t="array" ref="G17">IFERROR(INDEX(Data!$C:$C, MATCH($A17 &amp; G$9, Data!$A:$A &amp; Data!$B:$B, 0)), 0)</f>
        <v>8.0762759394279304E-3</v>
      </c>
      <c r="H17" s="18"/>
      <c r="I17" s="18"/>
      <c r="J17" s="18"/>
      <c r="K17" s="18"/>
      <c r="L17" s="18"/>
      <c r="M17" s="18"/>
      <c r="N17" s="18"/>
      <c r="P17" s="32"/>
      <c r="Q17" s="28"/>
      <c r="R17" s="28"/>
      <c r="S17" s="33"/>
    </row>
    <row r="18" spans="1:19" ht="13" customHeight="1" x14ac:dyDescent="0.25">
      <c r="A18" s="14">
        <v>44192</v>
      </c>
      <c r="B18" s="17" cm="1">
        <f t="array" ref="B18">IFERROR(INDEX(Data!$C:$C, MATCH($A18 &amp; B$9, Data!$A:$A &amp; Data!$B:$B, 0)), 0)</f>
        <v>0.33907733236592302</v>
      </c>
      <c r="C18" s="17" cm="1">
        <f t="array" ref="C18">IFERROR(INDEX(Data!$C:$C, MATCH($A18 &amp; C$9, Data!$A:$A &amp; Data!$B:$B, 0)), 0)</f>
        <v>5.0849507225346202E-2</v>
      </c>
      <c r="D18" s="17" cm="1">
        <f t="array" ref="D18">IFERROR(INDEX(Data!$C:$C, MATCH($A18 &amp; D$9, Data!$A:$A &amp; Data!$B:$B, 0)), 0)</f>
        <v>4.5347360783602403E-3</v>
      </c>
      <c r="E18" s="17" cm="1">
        <f t="array" ref="E18">IFERROR(INDEX(Data!$C:$C, MATCH($A18 &amp; E$9, Data!$A:$A &amp; Data!$B:$B, 0)), 0)</f>
        <v>2.03760807787653E-2</v>
      </c>
      <c r="F18" s="17" cm="1">
        <f t="array" ref="F18">IFERROR(INDEX(Data!$C:$C, MATCH($A18 &amp; F$9, Data!$A:$A &amp; Data!$B:$B, 0)), 0)</f>
        <v>5.9858516234355197E-3</v>
      </c>
      <c r="G18" s="18"/>
      <c r="H18" s="18"/>
      <c r="I18" s="18"/>
      <c r="J18" s="18"/>
      <c r="K18" s="18"/>
      <c r="L18" s="18"/>
      <c r="M18" s="18"/>
      <c r="N18" s="18"/>
      <c r="P18" s="32"/>
      <c r="Q18" s="28"/>
      <c r="R18" s="28"/>
      <c r="S18" s="33"/>
    </row>
    <row r="19" spans="1:19" ht="12.5" x14ac:dyDescent="0.25">
      <c r="A19" s="14">
        <v>44199</v>
      </c>
      <c r="B19" s="17" cm="1">
        <f t="array" ref="B19">IFERROR(INDEX(Data!$C:$C, MATCH($A19 &amp; B$9, Data!$A:$A &amp; Data!$B:$B, 0)), 0)</f>
        <v>0.22837446210591</v>
      </c>
      <c r="C19" s="17" cm="1">
        <f t="array" ref="C19">IFERROR(INDEX(Data!$C:$C, MATCH($A19 &amp; C$9, Data!$A:$A &amp; Data!$B:$B, 0)), 0)</f>
        <v>6.42838324405023E-2</v>
      </c>
      <c r="D19" s="17" cm="1">
        <f t="array" ref="D19">IFERROR(INDEX(Data!$C:$C, MATCH($A19 &amp; D$9, Data!$A:$A &amp; Data!$B:$B, 0)), 0)</f>
        <v>2.7399666286115801E-2</v>
      </c>
      <c r="E19" s="17" cm="1">
        <f t="array" ref="E19">IFERROR(INDEX(Data!$C:$C, MATCH($A19 &amp; E$9, Data!$A:$A &amp; Data!$B:$B, 0)), 0)</f>
        <v>4.7422499341354197E-3</v>
      </c>
      <c r="F19" s="18"/>
      <c r="G19" s="18"/>
      <c r="H19" s="18"/>
      <c r="I19" s="18"/>
      <c r="J19" s="18"/>
      <c r="K19" s="18"/>
      <c r="L19" s="18"/>
      <c r="M19" s="18"/>
      <c r="N19" s="18"/>
      <c r="P19" s="32"/>
      <c r="Q19" s="28"/>
      <c r="R19" s="28"/>
      <c r="S19" s="33"/>
    </row>
    <row r="20" spans="1:19" ht="12.5" x14ac:dyDescent="0.25">
      <c r="A20" s="14">
        <v>44206</v>
      </c>
      <c r="B20" s="17" cm="1">
        <f t="array" ref="B20">IFERROR(INDEX(Data!$C:$C, MATCH($A20 &amp; B$9, Data!$A:$A &amp; Data!$B:$B, 0)), 0)</f>
        <v>0.39940331903785198</v>
      </c>
      <c r="C20" s="17" cm="1">
        <f t="array" ref="C20">IFERROR(INDEX(Data!$C:$C, MATCH($A20 &amp; C$9, Data!$A:$A &amp; Data!$B:$B, 0)), 0)</f>
        <v>5.8502703710609699E-2</v>
      </c>
      <c r="D20" s="17" cm="1">
        <f t="array" ref="D20">IFERROR(INDEX(Data!$C:$C, MATCH($A20 &amp; D$9, Data!$A:$A &amp; Data!$B:$B, 0)), 0)</f>
        <v>1.2446391944806999E-2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P20" s="34"/>
      <c r="Q20" s="35"/>
      <c r="R20" s="35"/>
      <c r="S20" s="36"/>
    </row>
    <row r="21" spans="1:19" ht="12.5" x14ac:dyDescent="0.25">
      <c r="A21" s="14">
        <v>44213</v>
      </c>
      <c r="B21" s="17" cm="1">
        <f t="array" ref="B21">IFERROR(INDEX(Data!$C:$C, MATCH($A21 &amp; B$9, Data!$A:$A &amp; Data!$B:$B, 0)), 0)</f>
        <v>0.90318544894620301</v>
      </c>
      <c r="C21" s="17" cm="1">
        <f t="array" ref="C21">IFERROR(INDEX(Data!$C:$C, MATCH($A21 &amp; C$9, Data!$A:$A &amp; Data!$B:$B, 0)), 0)</f>
        <v>0.12202867866422901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</row>
    <row r="22" spans="1:19" ht="15.75" customHeight="1" x14ac:dyDescent="0.25">
      <c r="A22" s="11">
        <v>44220</v>
      </c>
      <c r="B22" s="17" cm="1">
        <f t="array" ref="B22">IFERROR(INDEX(Data!$C:$C, MATCH($A22 &amp; B$9, Data!$A:$A &amp; Data!$B:$B, 0)), 0)</f>
        <v>0.19212678936605301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spans="1:19" ht="13" x14ac:dyDescent="0.3">
      <c r="A23" s="15" t="s">
        <v>5</v>
      </c>
      <c r="B23" s="3">
        <f>AVERAGE(B10:B22)</f>
        <v>0.85538572926058376</v>
      </c>
      <c r="C23" s="3">
        <f>AVERAGE(C10:C22)</f>
        <v>0.19920886155370535</v>
      </c>
      <c r="D23" s="3">
        <f t="shared" ref="D23:N23" si="0">AVERAGE(D10:D22)</f>
        <v>0.12934478413220776</v>
      </c>
      <c r="E23" s="3">
        <f t="shared" si="0"/>
        <v>9.990102823905686E-2</v>
      </c>
      <c r="F23" s="3">
        <f t="shared" si="0"/>
        <v>8.2070172711246725E-2</v>
      </c>
      <c r="G23" s="3">
        <f t="shared" si="0"/>
        <v>4.793875599287413E-2</v>
      </c>
      <c r="H23" s="3">
        <f t="shared" si="0"/>
        <v>3.8683879030574186E-2</v>
      </c>
      <c r="I23" s="3">
        <f t="shared" si="0"/>
        <v>2.3525857174492747E-2</v>
      </c>
      <c r="J23" s="3">
        <f t="shared" si="0"/>
        <v>1.375332866084988E-2</v>
      </c>
      <c r="K23" s="3">
        <f t="shared" si="0"/>
        <v>8.9495320096814567E-3</v>
      </c>
      <c r="L23" s="3">
        <f t="shared" si="0"/>
        <v>2.1024049481292564E-2</v>
      </c>
      <c r="M23" s="3">
        <f t="shared" si="0"/>
        <v>1.7728379649578598E-2</v>
      </c>
      <c r="N23" s="3">
        <f t="shared" si="0"/>
        <v>1.8179101504133901E-2</v>
      </c>
    </row>
    <row r="26" spans="1:19" ht="15.75" customHeight="1" x14ac:dyDescent="0.35">
      <c r="A26" s="27" t="s">
        <v>13</v>
      </c>
    </row>
    <row r="28" spans="1:19" ht="15.75" customHeight="1" x14ac:dyDescent="0.3">
      <c r="A28" s="1"/>
      <c r="B28" s="8" t="s">
        <v>0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9" ht="13" x14ac:dyDescent="0.3">
      <c r="A29" s="21" t="s">
        <v>9</v>
      </c>
      <c r="B29" s="22" cm="1">
        <f t="array" ref="B29:N29">_xlfn.TOROW(_xlfn.UNIQUE(Data!B2:B91))</f>
        <v>0</v>
      </c>
      <c r="C29" s="22">
        <v>1</v>
      </c>
      <c r="D29" s="22">
        <v>2</v>
      </c>
      <c r="E29" s="22">
        <v>3</v>
      </c>
      <c r="F29" s="22">
        <v>4</v>
      </c>
      <c r="G29" s="22">
        <v>5</v>
      </c>
      <c r="H29" s="22">
        <v>6</v>
      </c>
      <c r="I29" s="22">
        <v>7</v>
      </c>
      <c r="J29" s="22">
        <v>8</v>
      </c>
      <c r="K29" s="22">
        <v>9</v>
      </c>
      <c r="L29" s="22">
        <v>10</v>
      </c>
      <c r="M29" s="22">
        <v>11</v>
      </c>
      <c r="N29" s="22">
        <v>12</v>
      </c>
    </row>
    <row r="30" spans="1:19" ht="12.5" x14ac:dyDescent="0.25">
      <c r="A30" s="16" cm="1">
        <f t="array" ref="A30:A42">_xlfn.UNIQUE(Data!A2:A91)</f>
        <v>44136</v>
      </c>
      <c r="B30" s="19" cm="1">
        <f t="array" ref="B30">IFERROR(INDEX(Data!$D:$D,MATCH($A30&amp;B$29,Data!$A:$A&amp;Data!$B:$B,0)),IF(B$30=0,0,A30))</f>
        <v>0.93799183185576196</v>
      </c>
      <c r="C30" s="19" cm="1">
        <f t="array" ref="C30">IFERROR(INDEX(Data!$D:$D,MATCH($A30&amp;C$29,Data!$A:$A&amp;Data!$B:$B,0)),IF(C$30=0,0,B30))</f>
        <v>1.2643689610519</v>
      </c>
      <c r="D30" s="19" cm="1">
        <f t="array" ref="D30">IFERROR(INDEX(Data!$D:$D,MATCH($A30&amp;D$29,Data!$A:$A&amp;Data!$B:$B,0)),IF(D$30=0,0,C30))</f>
        <v>1.53157685028389</v>
      </c>
      <c r="E30" s="19" cm="1">
        <f t="array" ref="E30">IFERROR(INDEX(Data!$D:$D,MATCH($A30&amp;E$29,Data!$A:$A&amp;Data!$B:$B,0)),IF(E$30=0,0,D30))</f>
        <v>1.7933061061858799</v>
      </c>
      <c r="F30" s="19" cm="1">
        <f t="array" ref="F30">IFERROR(INDEX(Data!$D:$D,MATCH($A30&amp;F$29,Data!$A:$A&amp;Data!$B:$B,0)),IF(F$30=0,0,E30))</f>
        <v>1.95318258790716</v>
      </c>
      <c r="G30" s="19" cm="1">
        <f t="array" ref="G30">IFERROR(INDEX(Data!$D:$D,MATCH($A30&amp;G$29,Data!$A:$A&amp;Data!$B:$B,0)),IF(G$30=0,0,F30))</f>
        <v>2.10638509811734</v>
      </c>
      <c r="H30" s="19" cm="1">
        <f t="array" ref="H30">IFERROR(INDEX(Data!$D:$D,MATCH($A30&amp;H$29,Data!$A:$A&amp;Data!$B:$B,0)),IF(H$30=0,0,G30))</f>
        <v>2.2716904074111</v>
      </c>
      <c r="I30" s="19" cm="1">
        <f t="array" ref="I30">IFERROR(INDEX(Data!$D:$D,MATCH($A30&amp;I$29,Data!$A:$A&amp;Data!$B:$B,0)),IF(I$30=0,0,H30))</f>
        <v>2.29669289769897</v>
      </c>
      <c r="J30" s="19" cm="1">
        <f t="array" ref="J30">IFERROR(INDEX(Data!$D:$D,MATCH($A30&amp;J$29,Data!$A:$A&amp;Data!$B:$B,0)),IF(J$30=0,0,I30))</f>
        <v>2.3045124016336298</v>
      </c>
      <c r="K30" s="19" cm="1">
        <f t="array" ref="K30">IFERROR(INDEX(Data!$D:$D,MATCH($A30&amp;K$29,Data!$A:$A&amp;Data!$B:$B,0)),IF(K$30=0,0,J30))</f>
        <v>2.31830859647375</v>
      </c>
      <c r="L30" s="19" cm="1">
        <f t="array" ref="L30">IFERROR(INDEX(Data!$D:$D,MATCH($A30&amp;L$29,Data!$A:$A&amp;Data!$B:$B,0)),IF(L$30=0,0,K30))</f>
        <v>2.3414682737324402</v>
      </c>
      <c r="M30" s="19" cm="1">
        <f t="array" ref="M30">IFERROR(INDEX(Data!$D:$D,MATCH($A30&amp;M$29,Data!$A:$A&amp;Data!$B:$B,0)),IF(M$30=0,0,L30))</f>
        <v>2.35641000099612</v>
      </c>
      <c r="N30" s="19" cm="1">
        <f t="array" ref="N30">IFERROR(INDEX(Data!$D:$D,MATCH($A30&amp;N$29,Data!$A:$A&amp;Data!$B:$B,0)),IF(N$30=0,0,M30))</f>
        <v>2.3745891025002499</v>
      </c>
      <c r="P30" s="29" t="s">
        <v>15</v>
      </c>
      <c r="Q30" s="30"/>
      <c r="R30" s="30"/>
      <c r="S30" s="31"/>
    </row>
    <row r="31" spans="1:19" ht="12.5" x14ac:dyDescent="0.25">
      <c r="A31" s="16">
        <v>44143</v>
      </c>
      <c r="B31" s="19" cm="1">
        <f t="array" ref="B31">IFERROR(INDEX(Data!$D:$D,MATCH($A31&amp;B$29,Data!$A:$A&amp;Data!$B:$B,0)),IF(B$30=0,0,A31))</f>
        <v>1.1919664859536701</v>
      </c>
      <c r="C31" s="19" cm="1">
        <f t="array" ref="C31">IFERROR(INDEX(Data!$D:$D,MATCH($A31&amp;C$29,Data!$A:$A&amp;Data!$B:$B,0)),IF(C$30=0,0,B31))</f>
        <v>1.57325036964022</v>
      </c>
      <c r="D31" s="19" cm="1">
        <f t="array" ref="D31">IFERROR(INDEX(Data!$D:$D,MATCH($A31&amp;D$29,Data!$A:$A&amp;Data!$B:$B,0)),IF(D$30=0,0,C31))</f>
        <v>1.8544849679645099</v>
      </c>
      <c r="E31" s="19" cm="1">
        <f t="array" ref="E31">IFERROR(INDEX(Data!$D:$D,MATCH($A31&amp;E$29,Data!$A:$A&amp;Data!$B:$B,0)),IF(E$30=0,0,D31))</f>
        <v>2.0837851158206</v>
      </c>
      <c r="F31" s="19" cm="1">
        <f t="array" ref="F31">IFERROR(INDEX(Data!$D:$D,MATCH($A31&amp;F$29,Data!$A:$A&amp;Data!$B:$B,0)),IF(F$30=0,0,E31))</f>
        <v>2.3603376047313902</v>
      </c>
      <c r="G31" s="19" cm="1">
        <f t="array" ref="G31">IFERROR(INDEX(Data!$D:$D,MATCH($A31&amp;G$29,Data!$A:$A&amp;Data!$B:$B,0)),IF(G$30=0,0,F31))</f>
        <v>2.4648225726959101</v>
      </c>
      <c r="H31" s="19" cm="1">
        <f t="array" ref="H31">IFERROR(INDEX(Data!$D:$D,MATCH($A31&amp;H$29,Data!$A:$A&amp;Data!$B:$B,0)),IF(H$30=0,0,G31))</f>
        <v>2.5041892557910299</v>
      </c>
      <c r="I31" s="19" cm="1">
        <f t="array" ref="I31">IFERROR(INDEX(Data!$D:$D,MATCH($A31&amp;I$29,Data!$A:$A&amp;Data!$B:$B,0)),IF(I$30=0,0,H31))</f>
        <v>2.57355840315426</v>
      </c>
      <c r="J31" s="19" cm="1">
        <f t="array" ref="J31">IFERROR(INDEX(Data!$D:$D,MATCH($A31&amp;J$29,Data!$A:$A&amp;Data!$B:$B,0)),IF(J$30=0,0,I31))</f>
        <v>2.57355840315426</v>
      </c>
      <c r="K31" s="19" cm="1">
        <f t="array" ref="K31">IFERROR(INDEX(Data!$D:$D,MATCH($A31&amp;K$29,Data!$A:$A&amp;Data!$B:$B,0)),IF(K$30=0,0,J31))</f>
        <v>2.5855717102020699</v>
      </c>
      <c r="L31" s="19" cm="1">
        <f t="array" ref="L31">IFERROR(INDEX(Data!$D:$D,MATCH($A31&amp;L$29,Data!$A:$A&amp;Data!$B:$B,0)),IF(L$30=0,0,K31))</f>
        <v>2.62105717102021</v>
      </c>
      <c r="M31" s="19" cm="1">
        <f t="array" ref="M31">IFERROR(INDEX(Data!$D:$D,MATCH($A31&amp;M$29,Data!$A:$A&amp;Data!$B:$B,0)),IF(M$30=0,0,L31))</f>
        <v>2.6415722030556901</v>
      </c>
      <c r="N31" s="19"/>
      <c r="P31" s="32"/>
      <c r="Q31" s="28"/>
      <c r="R31" s="28"/>
      <c r="S31" s="33"/>
    </row>
    <row r="32" spans="1:19" ht="12.5" x14ac:dyDescent="0.25">
      <c r="A32" s="16">
        <v>44150</v>
      </c>
      <c r="B32" s="19" cm="1">
        <f t="array" ref="B32">IFERROR(INDEX(Data!$D:$D,MATCH($A32&amp;B$29,Data!$A:$A&amp;Data!$B:$B,0)),IF(B$30=0,0,A32))</f>
        <v>1.3817315774726799</v>
      </c>
      <c r="C32" s="19" cm="1">
        <f t="array" ref="C32">IFERROR(INDEX(Data!$D:$D,MATCH($A32&amp;C$29,Data!$A:$A&amp;Data!$B:$B,0)),IF(C$30=0,0,B32))</f>
        <v>1.6785093863827401</v>
      </c>
      <c r="D32" s="19" cm="1">
        <f t="array" ref="D32">IFERROR(INDEX(Data!$D:$D,MATCH($A32&amp;D$29,Data!$A:$A&amp;Data!$B:$B,0)),IF(D$30=0,0,C32))</f>
        <v>1.8972261137573601</v>
      </c>
      <c r="E32" s="19" cm="1">
        <f t="array" ref="E32">IFERROR(INDEX(Data!$D:$D,MATCH($A32&amp;E$29,Data!$A:$A&amp;Data!$B:$B,0)),IF(E$30=0,0,D32))</f>
        <v>2.12479686186607</v>
      </c>
      <c r="F32" s="19" cm="1">
        <f t="array" ref="F32">IFERROR(INDEX(Data!$D:$D,MATCH($A32&amp;F$29,Data!$A:$A&amp;Data!$B:$B,0)),IF(F$30=0,0,E32))</f>
        <v>2.29190249369571</v>
      </c>
      <c r="G32" s="19" cm="1">
        <f t="array" ref="G32">IFERROR(INDEX(Data!$D:$D,MATCH($A32&amp;G$29,Data!$A:$A&amp;Data!$B:$B,0)),IF(G$30=0,0,F32))</f>
        <v>2.3175119080975102</v>
      </c>
      <c r="H32" s="19" cm="1">
        <f t="array" ref="H32">IFERROR(INDEX(Data!$D:$D,MATCH($A32&amp;H$29,Data!$A:$A&amp;Data!$B:$B,0)),IF(H$30=0,0,G32))</f>
        <v>2.3463154945362801</v>
      </c>
      <c r="I32" s="19" cm="1">
        <f t="array" ref="I32">IFERROR(INDEX(Data!$D:$D,MATCH($A32&amp;I$29,Data!$A:$A&amp;Data!$B:$B,0)),IF(I$30=0,0,H32))</f>
        <v>2.3683384701597099</v>
      </c>
      <c r="J32" s="19" cm="1">
        <f t="array" ref="J32">IFERROR(INDEX(Data!$D:$D,MATCH($A32&amp;J$29,Data!$A:$A&amp;Data!$B:$B,0)),IF(J$30=0,0,I32))</f>
        <v>2.3892967217707999</v>
      </c>
      <c r="K32" s="19" cm="1">
        <f t="array" ref="K32">IFERROR(INDEX(Data!$D:$D,MATCH($A32&amp;K$29,Data!$A:$A&amp;Data!$B:$B,0)),IF(K$30=0,0,J32))</f>
        <v>2.39551695152704</v>
      </c>
      <c r="L32" s="19" cm="1">
        <f t="array" ref="L32">IFERROR(INDEX(Data!$D:$D,MATCH($A32&amp;L$29,Data!$A:$A&amp;Data!$B:$B,0)),IF(L$30=0,0,K32))</f>
        <v>2.3999439618940901</v>
      </c>
      <c r="M32" s="19"/>
      <c r="N32" s="19"/>
      <c r="P32" s="32"/>
      <c r="Q32" s="28"/>
      <c r="R32" s="28"/>
      <c r="S32" s="33"/>
    </row>
    <row r="33" spans="1:19" ht="12.5" x14ac:dyDescent="0.25">
      <c r="A33" s="16">
        <v>44157</v>
      </c>
      <c r="B33" s="19" cm="1">
        <f t="array" ref="B33">IFERROR(INDEX(Data!$D:$D,MATCH($A33&amp;B$29,Data!$A:$A&amp;Data!$B:$B,0)),IF(B$30=0,0,A33))</f>
        <v>1.6472475429036999</v>
      </c>
      <c r="C33" s="19" cm="1">
        <f t="array" ref="C33">IFERROR(INDEX(Data!$D:$D,MATCH($A33&amp;C$29,Data!$A:$A&amp;Data!$B:$B,0)),IF(C$30=0,0,B33))</f>
        <v>1.8831287874930001</v>
      </c>
      <c r="D33" s="19" cm="1">
        <f t="array" ref="D33">IFERROR(INDEX(Data!$D:$D,MATCH($A33&amp;D$29,Data!$A:$A&amp;Data!$B:$B,0)),IF(D$30=0,0,C33))</f>
        <v>2.1084687070326402</v>
      </c>
      <c r="E33" s="19" cm="1">
        <f t="array" ref="E33">IFERROR(INDEX(Data!$D:$D,MATCH($A33&amp;E$29,Data!$A:$A&amp;Data!$B:$B,0)),IF(E$30=0,0,D33))</f>
        <v>2.2278352090441502</v>
      </c>
      <c r="F33" s="19" cm="1">
        <f t="array" ref="F33">IFERROR(INDEX(Data!$D:$D,MATCH($A33&amp;F$29,Data!$A:$A&amp;Data!$B:$B,0)),IF(F$30=0,0,E33))</f>
        <v>2.26485715740694</v>
      </c>
      <c r="G33" s="19" cm="1">
        <f t="array" ref="G33">IFERROR(INDEX(Data!$D:$D,MATCH($A33&amp;G$29,Data!$A:$A&amp;Data!$B:$B,0)),IF(G$30=0,0,F33))</f>
        <v>2.2780974690634999</v>
      </c>
      <c r="H33" s="19" cm="1">
        <f t="array" ref="H33">IFERROR(INDEX(Data!$D:$D,MATCH($A33&amp;H$29,Data!$A:$A&amp;Data!$B:$B,0)),IF(H$30=0,0,G33))</f>
        <v>2.28451392778938</v>
      </c>
      <c r="I33" s="19" cm="1">
        <f t="array" ref="I33">IFERROR(INDEX(Data!$D:$D,MATCH($A33&amp;I$29,Data!$A:$A&amp;Data!$B:$B,0)),IF(I$30=0,0,H33))</f>
        <v>2.2951061771146302</v>
      </c>
      <c r="J33" s="19" cm="1">
        <f t="array" ref="J33">IFERROR(INDEX(Data!$D:$D,MATCH($A33&amp;J$29,Data!$A:$A&amp;Data!$B:$B,0)),IF(J$30=0,0,I33))</f>
        <v>2.3296837602485101</v>
      </c>
      <c r="K33" s="19" cm="1">
        <f t="array" ref="K33">IFERROR(INDEX(Data!$D:$D,MATCH($A33&amp;K$29,Data!$A:$A&amp;Data!$B:$B,0)),IF(K$30=0,0,J33))</f>
        <v>2.3334521566430699</v>
      </c>
      <c r="L33" s="19"/>
      <c r="M33" s="19"/>
      <c r="N33" s="19"/>
      <c r="P33" s="32"/>
      <c r="Q33" s="28"/>
      <c r="R33" s="28"/>
      <c r="S33" s="33"/>
    </row>
    <row r="34" spans="1:19" ht="12.5" x14ac:dyDescent="0.25">
      <c r="A34" s="16">
        <v>44164</v>
      </c>
      <c r="B34" s="19" cm="1">
        <f t="array" ref="B34">IFERROR(INDEX(Data!$D:$D,MATCH($A34&amp;B$29,Data!$A:$A&amp;Data!$B:$B,0)),IF(B$30=0,0,A34))</f>
        <v>1.31940339229685</v>
      </c>
      <c r="C34" s="19" cm="1">
        <f t="array" ref="C34">IFERROR(INDEX(Data!$D:$D,MATCH($A34&amp;C$29,Data!$A:$A&amp;Data!$B:$B,0)),IF(C$30=0,0,B34))</f>
        <v>1.6828247919603501</v>
      </c>
      <c r="D34" s="19" cm="1">
        <f t="array" ref="D34">IFERROR(INDEX(Data!$D:$D,MATCH($A34&amp;D$29,Data!$A:$A&amp;Data!$B:$B,0)),IF(D$30=0,0,C34))</f>
        <v>1.92610613432768</v>
      </c>
      <c r="E34" s="19" cm="1">
        <f t="array" ref="E34">IFERROR(INDEX(Data!$D:$D,MATCH($A34&amp;E$29,Data!$A:$A&amp;Data!$B:$B,0)),IF(E$30=0,0,D34))</f>
        <v>1.97412577872766</v>
      </c>
      <c r="F34" s="19" cm="1">
        <f t="array" ref="F34">IFERROR(INDEX(Data!$D:$D,MATCH($A34&amp;F$29,Data!$A:$A&amp;Data!$B:$B,0)),IF(F$30=0,0,E34))</f>
        <v>1.9865399481606101</v>
      </c>
      <c r="G34" s="19" cm="1">
        <f t="array" ref="G34">IFERROR(INDEX(Data!$D:$D,MATCH($A34&amp;G$29,Data!$A:$A&amp;Data!$B:$B,0)),IF(G$30=0,0,F34))</f>
        <v>2.0086853712882502</v>
      </c>
      <c r="H34" s="19" cm="1">
        <f t="array" ref="H34">IFERROR(INDEX(Data!$D:$D,MATCH($A34&amp;H$29,Data!$A:$A&amp;Data!$B:$B,0)),IF(H$30=0,0,G34))</f>
        <v>2.0147787731344602</v>
      </c>
      <c r="I34" s="19" cm="1">
        <f t="array" ref="I34">IFERROR(INDEX(Data!$D:$D,MATCH($A34&amp;I$29,Data!$A:$A&amp;Data!$B:$B,0)),IF(I$30=0,0,H34))</f>
        <v>2.0267382110863501</v>
      </c>
      <c r="J34" s="19" cm="1">
        <f t="array" ref="J34">IFERROR(INDEX(Data!$D:$D,MATCH($A34&amp;J$29,Data!$A:$A&amp;Data!$B:$B,0)),IF(J$30=0,0,I34))</f>
        <v>2.0321495157109699</v>
      </c>
      <c r="K34" s="19"/>
      <c r="L34" s="19"/>
      <c r="M34" s="19"/>
      <c r="N34" s="19"/>
      <c r="P34" s="32"/>
      <c r="Q34" s="28"/>
      <c r="R34" s="28"/>
      <c r="S34" s="33"/>
    </row>
    <row r="35" spans="1:19" ht="12.5" x14ac:dyDescent="0.25">
      <c r="A35" s="16">
        <v>44171</v>
      </c>
      <c r="B35" s="19" cm="1">
        <f t="array" ref="B35">IFERROR(INDEX(Data!$D:$D,MATCH($A35&amp;B$29,Data!$A:$A&amp;Data!$B:$B,0)),IF(B$30=0,0,A35))</f>
        <v>1.2025722327122399</v>
      </c>
      <c r="C35" s="19" cm="1">
        <f t="array" ref="C35">IFERROR(INDEX(Data!$D:$D,MATCH($A35&amp;C$29,Data!$A:$A&amp;Data!$B:$B,0)),IF(C$30=0,0,B35))</f>
        <v>1.5320104029356201</v>
      </c>
      <c r="D35" s="19" cm="1">
        <f t="array" ref="D35">IFERROR(INDEX(Data!$D:$D,MATCH($A35&amp;D$29,Data!$A:$A&amp;Data!$B:$B,0)),IF(D$30=0,0,C35))</f>
        <v>1.6134881898179501</v>
      </c>
      <c r="E35" s="19" cm="1">
        <f t="array" ref="E35">IFERROR(INDEX(Data!$D:$D,MATCH($A35&amp;E$29,Data!$A:$A&amp;Data!$B:$B,0)),IF(E$30=0,0,D35))</f>
        <v>1.64790338095408</v>
      </c>
      <c r="F35" s="19" cm="1">
        <f t="array" ref="F35">IFERROR(INDEX(Data!$D:$D,MATCH($A35&amp;F$29,Data!$A:$A&amp;Data!$B:$B,0)),IF(F$30=0,0,E35))</f>
        <v>1.6687448786918</v>
      </c>
      <c r="G35" s="19" cm="1">
        <f t="array" ref="G35">IFERROR(INDEX(Data!$D:$D,MATCH($A35&amp;G$29,Data!$A:$A&amp;Data!$B:$B,0)),IF(G$30=0,0,F35))</f>
        <v>1.69567850653746</v>
      </c>
      <c r="H35" s="19" cm="1">
        <f t="array" ref="H35">IFERROR(INDEX(Data!$D:$D,MATCH($A35&amp;H$29,Data!$A:$A&amp;Data!$B:$B,0)),IF(H$30=0,0,G35))</f>
        <v>1.72008265346111</v>
      </c>
      <c r="I35" s="19" cm="1">
        <f t="array" ref="I35">IFERROR(INDEX(Data!$D:$D,MATCH($A35&amp;I$29,Data!$A:$A&amp;Data!$B:$B,0)),IF(I$30=0,0,H35))</f>
        <v>1.72229149595639</v>
      </c>
      <c r="J35" s="19"/>
      <c r="K35" s="19"/>
      <c r="L35" s="19"/>
      <c r="M35" s="19"/>
      <c r="N35" s="19"/>
      <c r="P35" s="32"/>
      <c r="Q35" s="28"/>
      <c r="R35" s="28"/>
      <c r="S35" s="33"/>
    </row>
    <row r="36" spans="1:19" ht="12.5" x14ac:dyDescent="0.25">
      <c r="A36" s="16">
        <v>44178</v>
      </c>
      <c r="B36" s="19" cm="1">
        <f t="array" ref="B36">IFERROR(INDEX(Data!$D:$D,MATCH($A36&amp;B$29,Data!$A:$A&amp;Data!$B:$B,0)),IF(B$30=0,0,A36))</f>
        <v>1.00822963463603</v>
      </c>
      <c r="C36" s="19" cm="1">
        <f t="array" ref="C36">IFERROR(INDEX(Data!$D:$D,MATCH($A36&amp;C$29,Data!$A:$A&amp;Data!$B:$B,0)),IF(C$30=0,0,B36))</f>
        <v>1.1160497753747101</v>
      </c>
      <c r="D36" s="19" cm="1">
        <f t="array" ref="D36">IFERROR(INDEX(Data!$D:$D,MATCH($A36&amp;D$29,Data!$A:$A&amp;Data!$B:$B,0)),IF(D$30=0,0,C36))</f>
        <v>1.1562835447063999</v>
      </c>
      <c r="E36" s="19" cm="1">
        <f t="array" ref="E36">IFERROR(INDEX(Data!$D:$D,MATCH($A36&amp;E$29,Data!$A:$A&amp;Data!$B:$B,0)),IF(E$30=0,0,D36))</f>
        <v>1.18649862839423</v>
      </c>
      <c r="F36" s="19" cm="1">
        <f t="array" ref="F36">IFERROR(INDEX(Data!$D:$D,MATCH($A36&amp;F$29,Data!$A:$A&amp;Data!$B:$B,0)),IF(F$30=0,0,E36))</f>
        <v>1.22732874806186</v>
      </c>
      <c r="G36" s="19" cm="1">
        <f t="array" ref="G36">IFERROR(INDEX(Data!$D:$D,MATCH($A36&amp;G$29,Data!$A:$A&amp;Data!$B:$B,0)),IF(G$30=0,0,F36))</f>
        <v>1.2571462648590599</v>
      </c>
      <c r="H36" s="19" cm="1">
        <f t="array" ref="H36">IFERROR(INDEX(Data!$D:$D,MATCH($A36&amp;H$29,Data!$A:$A&amp;Data!$B:$B,0)),IF(H$30=0,0,G36))</f>
        <v>1.2575438317496901</v>
      </c>
      <c r="I36" s="19"/>
      <c r="J36" s="19"/>
      <c r="K36" s="19"/>
      <c r="L36" s="19"/>
      <c r="M36" s="19"/>
      <c r="N36" s="19"/>
      <c r="P36" s="32"/>
      <c r="Q36" s="28"/>
      <c r="R36" s="28"/>
      <c r="S36" s="33"/>
    </row>
    <row r="37" spans="1:19" ht="12.5" x14ac:dyDescent="0.25">
      <c r="A37" s="16">
        <v>44185</v>
      </c>
      <c r="B37" s="19" cm="1">
        <f t="array" ref="B37">IFERROR(INDEX(Data!$D:$D,MATCH($A37&amp;B$29,Data!$A:$A&amp;Data!$B:$B,0)),IF(B$30=0,0,A37))</f>
        <v>0.36870443073471698</v>
      </c>
      <c r="C37" s="19" cm="1">
        <f t="array" ref="C37">IFERROR(INDEX(Data!$D:$D,MATCH($A37&amp;C$29,Data!$A:$A&amp;Data!$B:$B,0)),IF(C$30=0,0,B37))</f>
        <v>0.42254627033090297</v>
      </c>
      <c r="D37" s="19" cm="1">
        <f t="array" ref="D37">IFERROR(INDEX(Data!$D:$D,MATCH($A37&amp;D$29,Data!$A:$A&amp;Data!$B:$B,0)),IF(D$30=0,0,C37))</f>
        <v>0.44346606842400399</v>
      </c>
      <c r="E37" s="19" cm="1">
        <f t="array" ref="E37">IFERROR(INDEX(Data!$D:$D,MATCH($A37&amp;E$29,Data!$A:$A&amp;Data!$B:$B,0)),IF(E$30=0,0,D37))</f>
        <v>0.46674144699943898</v>
      </c>
      <c r="F37" s="19" cm="1">
        <f t="array" ref="F37">IFERROR(INDEX(Data!$D:$D,MATCH($A37&amp;F$29,Data!$A:$A&amp;Data!$B:$B,0)),IF(F$30=0,0,E37))</f>
        <v>0.484744812114414</v>
      </c>
      <c r="G37" s="19" cm="1">
        <f t="array" ref="G37">IFERROR(INDEX(Data!$D:$D,MATCH($A37&amp;G$29,Data!$A:$A&amp;Data!$B:$B,0)),IF(G$30=0,0,F37))</f>
        <v>0.492821088053842</v>
      </c>
      <c r="H37" s="19"/>
      <c r="I37" s="19"/>
      <c r="J37" s="19"/>
      <c r="K37" s="19"/>
      <c r="L37" s="19"/>
      <c r="M37" s="19"/>
      <c r="N37" s="19"/>
      <c r="P37" s="32"/>
      <c r="Q37" s="28"/>
      <c r="R37" s="28"/>
      <c r="S37" s="33"/>
    </row>
    <row r="38" spans="1:19" ht="12.5" x14ac:dyDescent="0.25">
      <c r="A38" s="16">
        <v>44192</v>
      </c>
      <c r="B38" s="19" cm="1">
        <f t="array" ref="B38">IFERROR(INDEX(Data!$D:$D,MATCH($A38&amp;B$29,Data!$A:$A&amp;Data!$B:$B,0)),IF(B$30=0,0,A38))</f>
        <v>0.33907733236592302</v>
      </c>
      <c r="C38" s="19" cm="1">
        <f t="array" ref="C38">IFERROR(INDEX(Data!$D:$D,MATCH($A38&amp;C$29,Data!$A:$A&amp;Data!$B:$B,0)),IF(C$30=0,0,B38))</f>
        <v>0.389926839591269</v>
      </c>
      <c r="D38" s="19" cm="1">
        <f t="array" ref="D38">IFERROR(INDEX(Data!$D:$D,MATCH($A38&amp;D$29,Data!$A:$A&amp;Data!$B:$B,0)),IF(D$30=0,0,C38))</f>
        <v>0.39446157566962903</v>
      </c>
      <c r="E38" s="19" cm="1">
        <f t="array" ref="E38">IFERROR(INDEX(Data!$D:$D,MATCH($A38&amp;E$29,Data!$A:$A&amp;Data!$B:$B,0)),IF(E$30=0,0,D38))</f>
        <v>0.41483765644839499</v>
      </c>
      <c r="F38" s="19" cm="1">
        <f t="array" ref="F38">IFERROR(INDEX(Data!$D:$D,MATCH($A38&amp;F$29,Data!$A:$A&amp;Data!$B:$B,0)),IF(F$30=0,0,E38))</f>
        <v>0.42082350807183</v>
      </c>
      <c r="G38" s="19"/>
      <c r="H38" s="19"/>
      <c r="I38" s="19"/>
      <c r="J38" s="19"/>
      <c r="K38" s="19"/>
      <c r="L38" s="19"/>
      <c r="M38" s="19"/>
      <c r="N38" s="19"/>
      <c r="P38" s="32"/>
      <c r="Q38" s="28"/>
      <c r="R38" s="28"/>
      <c r="S38" s="33"/>
    </row>
    <row r="39" spans="1:19" ht="12.5" x14ac:dyDescent="0.25">
      <c r="A39" s="16">
        <v>44199</v>
      </c>
      <c r="B39" s="19" cm="1">
        <f t="array" ref="B39">IFERROR(INDEX(Data!$D:$D,MATCH($A39&amp;B$29,Data!$A:$A&amp;Data!$B:$B,0)),IF(B$30=0,0,A39))</f>
        <v>0.22837446210591</v>
      </c>
      <c r="C39" s="19" cm="1">
        <f t="array" ref="C39">IFERROR(INDEX(Data!$D:$D,MATCH($A39&amp;C$29,Data!$A:$A&amp;Data!$B:$B,0)),IF(C$30=0,0,B39))</f>
        <v>0.29265829454641201</v>
      </c>
      <c r="D39" s="19" cm="1">
        <f t="array" ref="D39">IFERROR(INDEX(Data!$D:$D,MATCH($A39&amp;D$29,Data!$A:$A&amp;Data!$B:$B,0)),IF(D$30=0,0,C39))</f>
        <v>0.32005796083252802</v>
      </c>
      <c r="E39" s="19" cm="1">
        <f t="array" ref="E39">IFERROR(INDEX(Data!$D:$D,MATCH($A39&amp;E$29,Data!$A:$A&amp;Data!$B:$B,0)),IF(E$30=0,0,D39))</f>
        <v>0.32480021076666399</v>
      </c>
      <c r="F39" s="19"/>
      <c r="G39" s="19"/>
      <c r="H39" s="19"/>
      <c r="I39" s="19"/>
      <c r="J39" s="19"/>
      <c r="K39" s="19"/>
      <c r="L39" s="19"/>
      <c r="M39" s="19"/>
      <c r="N39" s="19"/>
      <c r="P39" s="32"/>
      <c r="Q39" s="28"/>
      <c r="R39" s="28"/>
      <c r="S39" s="33"/>
    </row>
    <row r="40" spans="1:19" ht="12.5" x14ac:dyDescent="0.25">
      <c r="A40" s="16">
        <v>44206</v>
      </c>
      <c r="B40" s="19" cm="1">
        <f t="array" ref="B40">IFERROR(INDEX(Data!$D:$D,MATCH($A40&amp;B$29,Data!$A:$A&amp;Data!$B:$B,0)),IF(B$30=0,0,A40))</f>
        <v>0.39940331903785198</v>
      </c>
      <c r="C40" s="19" cm="1">
        <f t="array" ref="C40">IFERROR(INDEX(Data!$D:$D,MATCH($A40&amp;C$29,Data!$A:$A&amp;Data!$B:$B,0)),IF(C$30=0,0,B40))</f>
        <v>0.45790602274846198</v>
      </c>
      <c r="D40" s="19" cm="1">
        <f t="array" ref="D40">IFERROR(INDEX(Data!$D:$D,MATCH($A40&amp;D$29,Data!$A:$A&amp;Data!$B:$B,0)),IF(D$30=0,0,C40))</f>
        <v>0.47035241469326899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P40" s="34"/>
      <c r="Q40" s="35"/>
      <c r="R40" s="35"/>
      <c r="S40" s="36"/>
    </row>
    <row r="41" spans="1:19" ht="12.5" x14ac:dyDescent="0.25">
      <c r="A41" s="16">
        <v>44213</v>
      </c>
      <c r="B41" s="19" cm="1">
        <f t="array" ref="B41">IFERROR(INDEX(Data!$D:$D,MATCH($A41&amp;B$29,Data!$A:$A&amp;Data!$B:$B,0)),IF(B$30=0,0,A41))</f>
        <v>0.90318544894620301</v>
      </c>
      <c r="C41" s="19" cm="1">
        <f t="array" ref="C41">IFERROR(INDEX(Data!$D:$D,MATCH($A41&amp;C$29,Data!$A:$A&amp;Data!$B:$B,0)),IF(C$30=0,0,B41))</f>
        <v>1.0252141276104301</v>
      </c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</row>
    <row r="42" spans="1:19" ht="12.5" x14ac:dyDescent="0.25">
      <c r="A42" s="16">
        <v>44220</v>
      </c>
      <c r="B42" s="19" cm="1">
        <f t="array" ref="B42">IFERROR(INDEX(Data!$D:$D,MATCH($A42&amp;B$29,Data!$A:$A&amp;Data!$B:$B,0)),IF(B$30=0,0,A42))</f>
        <v>0.19212678936605301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spans="1:19" ht="13" x14ac:dyDescent="0.3">
      <c r="A43" s="15" t="s">
        <v>8</v>
      </c>
      <c r="B43" s="3">
        <f>SUM($B$23:B23)</f>
        <v>0.85538572926058376</v>
      </c>
      <c r="C43" s="3">
        <f>SUM($B$23:C23)</f>
        <v>1.0545945908142891</v>
      </c>
      <c r="D43" s="3">
        <f>SUM($B$23:D23)</f>
        <v>1.1839393749464968</v>
      </c>
      <c r="E43" s="3">
        <f>SUM($B$23:E23)</f>
        <v>1.2838404031855537</v>
      </c>
      <c r="F43" s="3">
        <f>SUM($B$23:F23)</f>
        <v>1.3659105758968004</v>
      </c>
      <c r="G43" s="3">
        <f>SUM($B$23:G23)</f>
        <v>1.4138493318896745</v>
      </c>
      <c r="H43" s="3">
        <f>SUM($B$23:H23)</f>
        <v>1.4525332109202487</v>
      </c>
      <c r="I43" s="3">
        <f>SUM($B$23:I23)</f>
        <v>1.4760590680947414</v>
      </c>
      <c r="J43" s="3">
        <f>SUM($B$23:J23)</f>
        <v>1.4898123967555912</v>
      </c>
      <c r="K43" s="3">
        <f>SUM($B$23:K23)</f>
        <v>1.4987619287652727</v>
      </c>
      <c r="L43" s="3">
        <f>SUM($B$23:L23)</f>
        <v>1.5197859782465653</v>
      </c>
      <c r="M43" s="3">
        <f>SUM($B$23:M23)</f>
        <v>1.5375143578961439</v>
      </c>
      <c r="N43" s="3">
        <f>SUM($B$23:N23)</f>
        <v>1.5556934594002778</v>
      </c>
    </row>
    <row r="44" spans="1:19" ht="13" x14ac:dyDescent="0.3">
      <c r="A44" s="15" t="s">
        <v>7</v>
      </c>
      <c r="B44" s="2"/>
      <c r="C44" s="4">
        <f>(C43-B43)/B43</f>
        <v>0.23288775430694444</v>
      </c>
      <c r="D44" s="4">
        <f t="shared" ref="D44:N44" si="1">(D43-C43)/C43</f>
        <v>0.12264882188740997</v>
      </c>
      <c r="E44" s="4">
        <f t="shared" si="1"/>
        <v>8.4380189013961548E-2</v>
      </c>
      <c r="F44" s="4">
        <f t="shared" si="1"/>
        <v>6.3925525717689308E-2</v>
      </c>
      <c r="G44" s="4">
        <f t="shared" si="1"/>
        <v>3.5096555249526137E-2</v>
      </c>
      <c r="H44" s="4">
        <f t="shared" si="1"/>
        <v>2.7360679923985502E-2</v>
      </c>
      <c r="I44" s="4">
        <f t="shared" si="1"/>
        <v>1.6196433236516494E-2</v>
      </c>
      <c r="J44" s="4">
        <f t="shared" si="1"/>
        <v>9.3176004660858267E-3</v>
      </c>
      <c r="K44" s="4">
        <f t="shared" si="1"/>
        <v>6.0071536719463322E-3</v>
      </c>
      <c r="L44" s="4">
        <f t="shared" si="1"/>
        <v>1.4027611108732142E-2</v>
      </c>
      <c r="M44" s="4">
        <f t="shared" si="1"/>
        <v>1.1665050147411239E-2</v>
      </c>
      <c r="N44" s="4">
        <f t="shared" si="1"/>
        <v>1.1823695441133496E-2</v>
      </c>
    </row>
    <row r="47" spans="1:19" ht="15.75" customHeight="1" x14ac:dyDescent="0.35">
      <c r="A47" s="26" t="s">
        <v>14</v>
      </c>
    </row>
    <row r="49" spans="1:19" ht="13" x14ac:dyDescent="0.3">
      <c r="A49" s="1"/>
      <c r="B49" s="8" t="s">
        <v>0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9" ht="13" x14ac:dyDescent="0.3">
      <c r="A50" s="21" t="s">
        <v>9</v>
      </c>
      <c r="B50" s="22">
        <v>0</v>
      </c>
      <c r="C50" s="22">
        <v>1</v>
      </c>
      <c r="D50" s="22">
        <v>2</v>
      </c>
      <c r="E50" s="22">
        <v>3</v>
      </c>
      <c r="F50" s="22">
        <v>4</v>
      </c>
      <c r="G50" s="22">
        <v>5</v>
      </c>
      <c r="H50" s="22">
        <v>6</v>
      </c>
      <c r="I50" s="22">
        <v>7</v>
      </c>
      <c r="J50" s="22">
        <v>8</v>
      </c>
      <c r="K50" s="22">
        <v>9</v>
      </c>
      <c r="L50" s="22">
        <v>10</v>
      </c>
      <c r="M50" s="22">
        <v>11</v>
      </c>
      <c r="N50" s="22">
        <v>12</v>
      </c>
    </row>
    <row r="51" spans="1:19" ht="12.5" x14ac:dyDescent="0.25">
      <c r="A51" s="16" cm="1">
        <f t="array" ref="A51:A63">_xlfn.UNIQUE(Data!A2:A91)</f>
        <v>44136</v>
      </c>
      <c r="B51" s="19" cm="1">
        <f t="array" ref="B51">IFERROR(INDEX(Data!$D:$D,MATCH($A51&amp;B$50,Data!$A:$A&amp;Data!$B:$B,0)),IF(B$50=0,0,A51))</f>
        <v>0.93799183185576196</v>
      </c>
      <c r="C51" s="19" cm="1">
        <f t="array" ref="C51">IFERROR(INDEX(Data!$D:$D,MATCH($A51&amp;C$50,Data!$A:$A&amp;Data!$B:$B,0)),IF(C$50=0,0,B51))</f>
        <v>1.2643689610519</v>
      </c>
      <c r="D51" s="19" cm="1">
        <f t="array" ref="D51">IFERROR(INDEX(Data!$D:$D,MATCH($A51&amp;D$50,Data!$A:$A&amp;Data!$B:$B,0)),IF(D$50=0,0,C51))</f>
        <v>1.53157685028389</v>
      </c>
      <c r="E51" s="19" cm="1">
        <f t="array" ref="E51">IFERROR(INDEX(Data!$D:$D,MATCH($A51&amp;E$50,Data!$A:$A&amp;Data!$B:$B,0)),IF(E$50=0,0,D51))</f>
        <v>1.7933061061858799</v>
      </c>
      <c r="F51" s="19" cm="1">
        <f t="array" ref="F51">IFERROR(INDEX(Data!$D:$D,MATCH($A51&amp;F$50,Data!$A:$A&amp;Data!$B:$B,0)),IF(F$50=0,0,E51))</f>
        <v>1.95318258790716</v>
      </c>
      <c r="G51" s="19" cm="1">
        <f t="array" ref="G51">IFERROR(INDEX(Data!$D:$D,MATCH($A51&amp;G$50,Data!$A:$A&amp;Data!$B:$B,0)),IF(G$50=0,0,F51))</f>
        <v>2.10638509811734</v>
      </c>
      <c r="H51" s="19" cm="1">
        <f t="array" ref="H51">IFERROR(INDEX(Data!$D:$D,MATCH($A51&amp;H$50,Data!$A:$A&amp;Data!$B:$B,0)),IF(H$50=0,0,G51))</f>
        <v>2.2716904074111</v>
      </c>
      <c r="I51" s="19" cm="1">
        <f t="array" ref="I51">IFERROR(INDEX(Data!$D:$D,MATCH($A51&amp;I$50,Data!$A:$A&amp;Data!$B:$B,0)),IF(I$50=0,0,H51))</f>
        <v>2.29669289769897</v>
      </c>
      <c r="J51" s="19" cm="1">
        <f t="array" ref="J51">IFERROR(INDEX(Data!$D:$D,MATCH($A51&amp;J$50,Data!$A:$A&amp;Data!$B:$B,0)),IF(J$50=0,0,I51))</f>
        <v>2.3045124016336298</v>
      </c>
      <c r="K51" s="19" cm="1">
        <f t="array" ref="K51">IFERROR(INDEX(Data!$D:$D,MATCH($A51&amp;K$50,Data!$A:$A&amp;Data!$B:$B,0)),IF(K$50=0,0,J51))</f>
        <v>2.31830859647375</v>
      </c>
      <c r="L51" s="19" cm="1">
        <f t="array" ref="L51">IFERROR(INDEX(Data!$D:$D,MATCH($A51&amp;L$50,Data!$A:$A&amp;Data!$B:$B,0)),IF(L$50=0,0,K51))</f>
        <v>2.3414682737324402</v>
      </c>
      <c r="M51" s="19" cm="1">
        <f t="array" ref="M51">IFERROR(INDEX(Data!$D:$D,MATCH($A51&amp;M$50,Data!$A:$A&amp;Data!$B:$B,0)),IF(M$50=0,0,L51))</f>
        <v>2.35641000099612</v>
      </c>
      <c r="N51" s="19" cm="1">
        <f t="array" ref="N51">IFERROR(INDEX(Data!$D:$D,MATCH($A51&amp;N$50,Data!$A:$A&amp;Data!$B:$B,0)),IF(N$50=0,0,M51))</f>
        <v>2.3745891025002499</v>
      </c>
      <c r="P51" s="29" t="s">
        <v>16</v>
      </c>
      <c r="Q51" s="30"/>
      <c r="R51" s="30"/>
      <c r="S51" s="31"/>
    </row>
    <row r="52" spans="1:19" ht="12.5" x14ac:dyDescent="0.25">
      <c r="A52" s="16">
        <v>44143</v>
      </c>
      <c r="B52" s="19" cm="1">
        <f t="array" ref="B52">IFERROR(INDEX(Data!$D:$D,MATCH($A52&amp;B$50,Data!$A:$A&amp;Data!$B:$B,0)),IF(B$50=0,0,A52))</f>
        <v>1.1919664859536701</v>
      </c>
      <c r="C52" s="19" cm="1">
        <f t="array" ref="C52">IFERROR(INDEX(Data!$D:$D,MATCH($A52&amp;C$50,Data!$A:$A&amp;Data!$B:$B,0)),IF(C$50=0,0,B52))</f>
        <v>1.57325036964022</v>
      </c>
      <c r="D52" s="19" cm="1">
        <f t="array" ref="D52">IFERROR(INDEX(Data!$D:$D,MATCH($A52&amp;D$50,Data!$A:$A&amp;Data!$B:$B,0)),IF(D$50=0,0,C52))</f>
        <v>1.8544849679645099</v>
      </c>
      <c r="E52" s="19" cm="1">
        <f t="array" ref="E52">IFERROR(INDEX(Data!$D:$D,MATCH($A52&amp;E$50,Data!$A:$A&amp;Data!$B:$B,0)),IF(E$50=0,0,D52))</f>
        <v>2.0837851158206</v>
      </c>
      <c r="F52" s="19" cm="1">
        <f t="array" ref="F52">IFERROR(INDEX(Data!$D:$D,MATCH($A52&amp;F$50,Data!$A:$A&amp;Data!$B:$B,0)),IF(F$50=0,0,E52))</f>
        <v>2.3603376047313902</v>
      </c>
      <c r="G52" s="19" cm="1">
        <f t="array" ref="G52">IFERROR(INDEX(Data!$D:$D,MATCH($A52&amp;G$50,Data!$A:$A&amp;Data!$B:$B,0)),IF(G$50=0,0,F52))</f>
        <v>2.4648225726959101</v>
      </c>
      <c r="H52" s="19" cm="1">
        <f t="array" ref="H52">IFERROR(INDEX(Data!$D:$D,MATCH($A52&amp;H$50,Data!$A:$A&amp;Data!$B:$B,0)),IF(H$50=0,0,G52))</f>
        <v>2.5041892557910299</v>
      </c>
      <c r="I52" s="19" cm="1">
        <f t="array" ref="I52">IFERROR(INDEX(Data!$D:$D,MATCH($A52&amp;I$50,Data!$A:$A&amp;Data!$B:$B,0)),IF(I$50=0,0,H52))</f>
        <v>2.57355840315426</v>
      </c>
      <c r="J52" s="19" cm="1">
        <f t="array" ref="J52">IFERROR(INDEX(Data!$D:$D,MATCH($A52&amp;J$50,Data!$A:$A&amp;Data!$B:$B,0)),IF(J$50=0,0,I52))</f>
        <v>2.57355840315426</v>
      </c>
      <c r="K52" s="19" cm="1">
        <f t="array" ref="K52">IFERROR(INDEX(Data!$D:$D,MATCH($A52&amp;K$50,Data!$A:$A&amp;Data!$B:$B,0)),IF(K$50=0,0,J52))</f>
        <v>2.5855717102020699</v>
      </c>
      <c r="L52" s="19" cm="1">
        <f t="array" ref="L52">IFERROR(INDEX(Data!$D:$D,MATCH($A52&amp;L$50,Data!$A:$A&amp;Data!$B:$B,0)),IF(L$50=0,0,K52))</f>
        <v>2.62105717102021</v>
      </c>
      <c r="M52" s="19" cm="1">
        <f t="array" ref="M52">IFERROR(INDEX(Data!$D:$D,MATCH($A52&amp;M$50,Data!$A:$A&amp;Data!$B:$B,0)),IF(M$50=0,0,L52))</f>
        <v>2.6415722030556901</v>
      </c>
      <c r="N52" s="19">
        <f>M52*(1+N44)</f>
        <v>2.6728053482703844</v>
      </c>
      <c r="P52" s="32"/>
      <c r="Q52" s="28"/>
      <c r="R52" s="28"/>
      <c r="S52" s="33"/>
    </row>
    <row r="53" spans="1:19" ht="12.5" x14ac:dyDescent="0.25">
      <c r="A53" s="16">
        <v>44150</v>
      </c>
      <c r="B53" s="19" cm="1">
        <f t="array" ref="B53">IFERROR(INDEX(Data!$D:$D,MATCH($A53&amp;B$50,Data!$A:$A&amp;Data!$B:$B,0)),IF(B$50=0,0,A53))</f>
        <v>1.3817315774726799</v>
      </c>
      <c r="C53" s="19" cm="1">
        <f t="array" ref="C53">IFERROR(INDEX(Data!$D:$D,MATCH($A53&amp;C$50,Data!$A:$A&amp;Data!$B:$B,0)),IF(C$50=0,0,B53))</f>
        <v>1.6785093863827401</v>
      </c>
      <c r="D53" s="19" cm="1">
        <f t="array" ref="D53">IFERROR(INDEX(Data!$D:$D,MATCH($A53&amp;D$50,Data!$A:$A&amp;Data!$B:$B,0)),IF(D$50=0,0,C53))</f>
        <v>1.8972261137573601</v>
      </c>
      <c r="E53" s="19" cm="1">
        <f t="array" ref="E53">IFERROR(INDEX(Data!$D:$D,MATCH($A53&amp;E$50,Data!$A:$A&amp;Data!$B:$B,0)),IF(E$50=0,0,D53))</f>
        <v>2.12479686186607</v>
      </c>
      <c r="F53" s="19" cm="1">
        <f t="array" ref="F53">IFERROR(INDEX(Data!$D:$D,MATCH($A53&amp;F$50,Data!$A:$A&amp;Data!$B:$B,0)),IF(F$50=0,0,E53))</f>
        <v>2.29190249369571</v>
      </c>
      <c r="G53" s="19" cm="1">
        <f t="array" ref="G53">IFERROR(INDEX(Data!$D:$D,MATCH($A53&amp;G$50,Data!$A:$A&amp;Data!$B:$B,0)),IF(G$50=0,0,F53))</f>
        <v>2.3175119080975102</v>
      </c>
      <c r="H53" s="19" cm="1">
        <f t="array" ref="H53">IFERROR(INDEX(Data!$D:$D,MATCH($A53&amp;H$50,Data!$A:$A&amp;Data!$B:$B,0)),IF(H$50=0,0,G53))</f>
        <v>2.3463154945362801</v>
      </c>
      <c r="I53" s="19" cm="1">
        <f t="array" ref="I53">IFERROR(INDEX(Data!$D:$D,MATCH($A53&amp;I$50,Data!$A:$A&amp;Data!$B:$B,0)),IF(I$50=0,0,H53))</f>
        <v>2.3683384701597099</v>
      </c>
      <c r="J53" s="19" cm="1">
        <f t="array" ref="J53">IFERROR(INDEX(Data!$D:$D,MATCH($A53&amp;J$50,Data!$A:$A&amp;Data!$B:$B,0)),IF(J$50=0,0,I53))</f>
        <v>2.3892967217707999</v>
      </c>
      <c r="K53" s="19" cm="1">
        <f t="array" ref="K53">IFERROR(INDEX(Data!$D:$D,MATCH($A53&amp;K$50,Data!$A:$A&amp;Data!$B:$B,0)),IF(K$50=0,0,J53))</f>
        <v>2.39551695152704</v>
      </c>
      <c r="L53" s="19" cm="1">
        <f t="array" ref="L53">IFERROR(INDEX(Data!$D:$D,MATCH($A53&amp;L$50,Data!$A:$A&amp;Data!$B:$B,0)),IF(L$50=0,0,K53))</f>
        <v>2.3999439618940901</v>
      </c>
      <c r="M53" s="19">
        <f>L53*(1+M44)</f>
        <v>2.4279394285605611</v>
      </c>
      <c r="N53" s="19">
        <f>M53*(1+N44)</f>
        <v>2.456646644913381</v>
      </c>
      <c r="P53" s="32"/>
      <c r="Q53" s="28"/>
      <c r="R53" s="28"/>
      <c r="S53" s="33"/>
    </row>
    <row r="54" spans="1:19" ht="12.5" x14ac:dyDescent="0.25">
      <c r="A54" s="16">
        <v>44157</v>
      </c>
      <c r="B54" s="19" cm="1">
        <f t="array" ref="B54">IFERROR(INDEX(Data!$D:$D,MATCH($A54&amp;B$50,Data!$A:$A&amp;Data!$B:$B,0)),IF(B$50=0,0,A54))</f>
        <v>1.6472475429036999</v>
      </c>
      <c r="C54" s="19" cm="1">
        <f t="array" ref="C54">IFERROR(INDEX(Data!$D:$D,MATCH($A54&amp;C$50,Data!$A:$A&amp;Data!$B:$B,0)),IF(C$50=0,0,B54))</f>
        <v>1.8831287874930001</v>
      </c>
      <c r="D54" s="19" cm="1">
        <f t="array" ref="D54">IFERROR(INDEX(Data!$D:$D,MATCH($A54&amp;D$50,Data!$A:$A&amp;Data!$B:$B,0)),IF(D$50=0,0,C54))</f>
        <v>2.1084687070326402</v>
      </c>
      <c r="E54" s="19" cm="1">
        <f t="array" ref="E54">IFERROR(INDEX(Data!$D:$D,MATCH($A54&amp;E$50,Data!$A:$A&amp;Data!$B:$B,0)),IF(E$50=0,0,D54))</f>
        <v>2.2278352090441502</v>
      </c>
      <c r="F54" s="19" cm="1">
        <f t="array" ref="F54">IFERROR(INDEX(Data!$D:$D,MATCH($A54&amp;F$50,Data!$A:$A&amp;Data!$B:$B,0)),IF(F$50=0,0,E54))</f>
        <v>2.26485715740694</v>
      </c>
      <c r="G54" s="19" cm="1">
        <f t="array" ref="G54">IFERROR(INDEX(Data!$D:$D,MATCH($A54&amp;G$50,Data!$A:$A&amp;Data!$B:$B,0)),IF(G$50=0,0,F54))</f>
        <v>2.2780974690634999</v>
      </c>
      <c r="H54" s="19" cm="1">
        <f t="array" ref="H54">IFERROR(INDEX(Data!$D:$D,MATCH($A54&amp;H$50,Data!$A:$A&amp;Data!$B:$B,0)),IF(H$50=0,0,G54))</f>
        <v>2.28451392778938</v>
      </c>
      <c r="I54" s="19" cm="1">
        <f t="array" ref="I54">IFERROR(INDEX(Data!$D:$D,MATCH($A54&amp;I$50,Data!$A:$A&amp;Data!$B:$B,0)),IF(I$50=0,0,H54))</f>
        <v>2.2951061771146302</v>
      </c>
      <c r="J54" s="19" cm="1">
        <f t="array" ref="J54">IFERROR(INDEX(Data!$D:$D,MATCH($A54&amp;J$50,Data!$A:$A&amp;Data!$B:$B,0)),IF(J$50=0,0,I54))</f>
        <v>2.3296837602485101</v>
      </c>
      <c r="K54" s="19" cm="1">
        <f t="array" ref="K54">IFERROR(INDEX(Data!$D:$D,MATCH($A54&amp;K$50,Data!$A:$A&amp;Data!$B:$B,0)),IF(K$50=0,0,J54))</f>
        <v>2.3334521566430699</v>
      </c>
      <c r="L54" s="19">
        <f>K54*(1+L44)</f>
        <v>2.366184916037291</v>
      </c>
      <c r="M54" s="19">
        <f t="shared" ref="M54:N54" si="2">L54*(1+M44)</f>
        <v>2.3937865817409136</v>
      </c>
      <c r="N54" s="19">
        <f t="shared" si="2"/>
        <v>2.4220899852344902</v>
      </c>
      <c r="P54" s="32"/>
      <c r="Q54" s="28"/>
      <c r="R54" s="28"/>
      <c r="S54" s="33"/>
    </row>
    <row r="55" spans="1:19" ht="12.5" x14ac:dyDescent="0.25">
      <c r="A55" s="16">
        <v>44164</v>
      </c>
      <c r="B55" s="19" cm="1">
        <f t="array" ref="B55">IFERROR(INDEX(Data!$D:$D,MATCH($A55&amp;B$50,Data!$A:$A&amp;Data!$B:$B,0)),IF(B$50=0,0,A55))</f>
        <v>1.31940339229685</v>
      </c>
      <c r="C55" s="19" cm="1">
        <f t="array" ref="C55">IFERROR(INDEX(Data!$D:$D,MATCH($A55&amp;C$50,Data!$A:$A&amp;Data!$B:$B,0)),IF(C$50=0,0,B55))</f>
        <v>1.6828247919603501</v>
      </c>
      <c r="D55" s="19" cm="1">
        <f t="array" ref="D55">IFERROR(INDEX(Data!$D:$D,MATCH($A55&amp;D$50,Data!$A:$A&amp;Data!$B:$B,0)),IF(D$50=0,0,C55))</f>
        <v>1.92610613432768</v>
      </c>
      <c r="E55" s="19" cm="1">
        <f t="array" ref="E55">IFERROR(INDEX(Data!$D:$D,MATCH($A55&amp;E$50,Data!$A:$A&amp;Data!$B:$B,0)),IF(E$50=0,0,D55))</f>
        <v>1.97412577872766</v>
      </c>
      <c r="F55" s="19" cm="1">
        <f t="array" ref="F55">IFERROR(INDEX(Data!$D:$D,MATCH($A55&amp;F$50,Data!$A:$A&amp;Data!$B:$B,0)),IF(F$50=0,0,E55))</f>
        <v>1.9865399481606101</v>
      </c>
      <c r="G55" s="19" cm="1">
        <f t="array" ref="G55">IFERROR(INDEX(Data!$D:$D,MATCH($A55&amp;G$50,Data!$A:$A&amp;Data!$B:$B,0)),IF(G$50=0,0,F55))</f>
        <v>2.0086853712882502</v>
      </c>
      <c r="H55" s="19" cm="1">
        <f t="array" ref="H55">IFERROR(INDEX(Data!$D:$D,MATCH($A55&amp;H$50,Data!$A:$A&amp;Data!$B:$B,0)),IF(H$50=0,0,G55))</f>
        <v>2.0147787731344602</v>
      </c>
      <c r="I55" s="19" cm="1">
        <f t="array" ref="I55">IFERROR(INDEX(Data!$D:$D,MATCH($A55&amp;I$50,Data!$A:$A&amp;Data!$B:$B,0)),IF(I$50=0,0,H55))</f>
        <v>2.0267382110863501</v>
      </c>
      <c r="J55" s="19" cm="1">
        <f t="array" ref="J55">IFERROR(INDEX(Data!$D:$D,MATCH($A55&amp;J$50,Data!$A:$A&amp;Data!$B:$B,0)),IF(J$50=0,0,I55))</f>
        <v>2.0321495157109699</v>
      </c>
      <c r="K55" s="19">
        <f>J55*(1+K44)</f>
        <v>2.0443569501362173</v>
      </c>
      <c r="L55" s="19">
        <f t="shared" ref="L55:N55" si="3">K55*(1+L44)</f>
        <v>2.0730343944001617</v>
      </c>
      <c r="M55" s="19">
        <f t="shared" si="3"/>
        <v>2.0972164445681476</v>
      </c>
      <c r="N55" s="19">
        <f t="shared" si="3"/>
        <v>2.1220132930828584</v>
      </c>
      <c r="P55" s="32"/>
      <c r="Q55" s="28"/>
      <c r="R55" s="28"/>
      <c r="S55" s="33"/>
    </row>
    <row r="56" spans="1:19" ht="12.5" x14ac:dyDescent="0.25">
      <c r="A56" s="16">
        <v>44171</v>
      </c>
      <c r="B56" s="19" cm="1">
        <f t="array" ref="B56">IFERROR(INDEX(Data!$D:$D,MATCH($A56&amp;B$50,Data!$A:$A&amp;Data!$B:$B,0)),IF(B$50=0,0,A56))</f>
        <v>1.2025722327122399</v>
      </c>
      <c r="C56" s="19" cm="1">
        <f t="array" ref="C56">IFERROR(INDEX(Data!$D:$D,MATCH($A56&amp;C$50,Data!$A:$A&amp;Data!$B:$B,0)),IF(C$50=0,0,B56))</f>
        <v>1.5320104029356201</v>
      </c>
      <c r="D56" s="19" cm="1">
        <f t="array" ref="D56">IFERROR(INDEX(Data!$D:$D,MATCH($A56&amp;D$50,Data!$A:$A&amp;Data!$B:$B,0)),IF(D$50=0,0,C56))</f>
        <v>1.6134881898179501</v>
      </c>
      <c r="E56" s="19" cm="1">
        <f t="array" ref="E56">IFERROR(INDEX(Data!$D:$D,MATCH($A56&amp;E$50,Data!$A:$A&amp;Data!$B:$B,0)),IF(E$50=0,0,D56))</f>
        <v>1.64790338095408</v>
      </c>
      <c r="F56" s="19" cm="1">
        <f t="array" ref="F56">IFERROR(INDEX(Data!$D:$D,MATCH($A56&amp;F$50,Data!$A:$A&amp;Data!$B:$B,0)),IF(F$50=0,0,E56))</f>
        <v>1.6687448786918</v>
      </c>
      <c r="G56" s="19" cm="1">
        <f t="array" ref="G56">IFERROR(INDEX(Data!$D:$D,MATCH($A56&amp;G$50,Data!$A:$A&amp;Data!$B:$B,0)),IF(G$50=0,0,F56))</f>
        <v>1.69567850653746</v>
      </c>
      <c r="H56" s="19" cm="1">
        <f t="array" ref="H56">IFERROR(INDEX(Data!$D:$D,MATCH($A56&amp;H$50,Data!$A:$A&amp;Data!$B:$B,0)),IF(H$50=0,0,G56))</f>
        <v>1.72008265346111</v>
      </c>
      <c r="I56" s="19" cm="1">
        <f t="array" ref="I56">IFERROR(INDEX(Data!$D:$D,MATCH($A56&amp;I$50,Data!$A:$A&amp;Data!$B:$B,0)),IF(I$50=0,0,H56))</f>
        <v>1.72229149595639</v>
      </c>
      <c r="J56" s="19">
        <f>I56*(1+J44)</f>
        <v>1.7383391200018488</v>
      </c>
      <c r="K56" s="19">
        <f t="shared" ref="K56:N56" si="4">J56*(1+K44)</f>
        <v>1.748781590229656</v>
      </c>
      <c r="L56" s="19">
        <f t="shared" si="4"/>
        <v>1.7733128182915077</v>
      </c>
      <c r="M56" s="19">
        <f t="shared" si="4"/>
        <v>1.7939986012439251</v>
      </c>
      <c r="N56" s="19">
        <f t="shared" si="4"/>
        <v>1.8152102943268527</v>
      </c>
      <c r="P56" s="32"/>
      <c r="Q56" s="28"/>
      <c r="R56" s="28"/>
      <c r="S56" s="33"/>
    </row>
    <row r="57" spans="1:19" ht="12.5" x14ac:dyDescent="0.25">
      <c r="A57" s="16">
        <v>44178</v>
      </c>
      <c r="B57" s="19" cm="1">
        <f t="array" ref="B57">IFERROR(INDEX(Data!$D:$D,MATCH($A57&amp;B$50,Data!$A:$A&amp;Data!$B:$B,0)),IF(B$50=0,0,A57))</f>
        <v>1.00822963463603</v>
      </c>
      <c r="C57" s="19" cm="1">
        <f t="array" ref="C57">IFERROR(INDEX(Data!$D:$D,MATCH($A57&amp;C$50,Data!$A:$A&amp;Data!$B:$B,0)),IF(C$50=0,0,B57))</f>
        <v>1.1160497753747101</v>
      </c>
      <c r="D57" s="19" cm="1">
        <f t="array" ref="D57">IFERROR(INDEX(Data!$D:$D,MATCH($A57&amp;D$50,Data!$A:$A&amp;Data!$B:$B,0)),IF(D$50=0,0,C57))</f>
        <v>1.1562835447063999</v>
      </c>
      <c r="E57" s="19" cm="1">
        <f t="array" ref="E57">IFERROR(INDEX(Data!$D:$D,MATCH($A57&amp;E$50,Data!$A:$A&amp;Data!$B:$B,0)),IF(E$50=0,0,D57))</f>
        <v>1.18649862839423</v>
      </c>
      <c r="F57" s="19" cm="1">
        <f t="array" ref="F57">IFERROR(INDEX(Data!$D:$D,MATCH($A57&amp;F$50,Data!$A:$A&amp;Data!$B:$B,0)),IF(F$50=0,0,E57))</f>
        <v>1.22732874806186</v>
      </c>
      <c r="G57" s="19" cm="1">
        <f t="array" ref="G57">IFERROR(INDEX(Data!$D:$D,MATCH($A57&amp;G$50,Data!$A:$A&amp;Data!$B:$B,0)),IF(G$50=0,0,F57))</f>
        <v>1.2571462648590599</v>
      </c>
      <c r="H57" s="19" cm="1">
        <f t="array" ref="H57">IFERROR(INDEX(Data!$D:$D,MATCH($A57&amp;H$50,Data!$A:$A&amp;Data!$B:$B,0)),IF(H$50=0,0,G57))</f>
        <v>1.2575438317496901</v>
      </c>
      <c r="I57" s="19">
        <f>H57*(1+I44)</f>
        <v>1.2779115564626171</v>
      </c>
      <c r="J57" s="19">
        <f t="shared" ref="J57:N57" si="5">I57*(1+J44)</f>
        <v>1.2898186257767297</v>
      </c>
      <c r="K57" s="19">
        <f t="shared" si="5"/>
        <v>1.2975667644707092</v>
      </c>
      <c r="L57" s="19">
        <f t="shared" si="5"/>
        <v>1.3157685264303201</v>
      </c>
      <c r="M57" s="19">
        <f t="shared" si="5"/>
        <v>1.3311170322735151</v>
      </c>
      <c r="N57" s="19">
        <f t="shared" si="5"/>
        <v>1.3468557546596225</v>
      </c>
      <c r="P57" s="32"/>
      <c r="Q57" s="28"/>
      <c r="R57" s="28"/>
      <c r="S57" s="33"/>
    </row>
    <row r="58" spans="1:19" ht="12.5" x14ac:dyDescent="0.25">
      <c r="A58" s="16">
        <v>44185</v>
      </c>
      <c r="B58" s="19" cm="1">
        <f t="array" ref="B58">IFERROR(INDEX(Data!$D:$D,MATCH($A58&amp;B$50,Data!$A:$A&amp;Data!$B:$B,0)),IF(B$50=0,0,A58))</f>
        <v>0.36870443073471698</v>
      </c>
      <c r="C58" s="19" cm="1">
        <f t="array" ref="C58">IFERROR(INDEX(Data!$D:$D,MATCH($A58&amp;C$50,Data!$A:$A&amp;Data!$B:$B,0)),IF(C$50=0,0,B58))</f>
        <v>0.42254627033090297</v>
      </c>
      <c r="D58" s="19" cm="1">
        <f t="array" ref="D58">IFERROR(INDEX(Data!$D:$D,MATCH($A58&amp;D$50,Data!$A:$A&amp;Data!$B:$B,0)),IF(D$50=0,0,C58))</f>
        <v>0.44346606842400399</v>
      </c>
      <c r="E58" s="19" cm="1">
        <f t="array" ref="E58">IFERROR(INDEX(Data!$D:$D,MATCH($A58&amp;E$50,Data!$A:$A&amp;Data!$B:$B,0)),IF(E$50=0,0,D58))</f>
        <v>0.46674144699943898</v>
      </c>
      <c r="F58" s="19" cm="1">
        <f t="array" ref="F58">IFERROR(INDEX(Data!$D:$D,MATCH($A58&amp;F$50,Data!$A:$A&amp;Data!$B:$B,0)),IF(F$50=0,0,E58))</f>
        <v>0.484744812114414</v>
      </c>
      <c r="G58" s="19" cm="1">
        <f t="array" ref="G58">IFERROR(INDEX(Data!$D:$D,MATCH($A58&amp;G$50,Data!$A:$A&amp;Data!$B:$B,0)),IF(G$50=0,0,F58))</f>
        <v>0.492821088053842</v>
      </c>
      <c r="H58" s="19">
        <f>G58*(1+H44)</f>
        <v>0.50630500810387347</v>
      </c>
      <c r="I58" s="19">
        <f t="shared" ref="I58:N58" si="6">H58*(1+I44)</f>
        <v>0.5145053433649418</v>
      </c>
      <c r="J58" s="19">
        <f t="shared" si="6"/>
        <v>0.51929929859208257</v>
      </c>
      <c r="K58" s="19">
        <f t="shared" si="6"/>
        <v>0.52241880928045914</v>
      </c>
      <c r="L58" s="19">
        <f t="shared" si="6"/>
        <v>0.52974709717293234</v>
      </c>
      <c r="M58" s="19">
        <f t="shared" si="6"/>
        <v>0.53592662362690002</v>
      </c>
      <c r="N58" s="19">
        <f t="shared" si="6"/>
        <v>0.54226325680345944</v>
      </c>
      <c r="P58" s="32"/>
      <c r="Q58" s="28"/>
      <c r="R58" s="28"/>
      <c r="S58" s="33"/>
    </row>
    <row r="59" spans="1:19" ht="12.5" x14ac:dyDescent="0.25">
      <c r="A59" s="16">
        <v>44192</v>
      </c>
      <c r="B59" s="19" cm="1">
        <f t="array" ref="B59">IFERROR(INDEX(Data!$D:$D,MATCH($A59&amp;B$50,Data!$A:$A&amp;Data!$B:$B,0)),IF(B$50=0,0,A59))</f>
        <v>0.33907733236592302</v>
      </c>
      <c r="C59" s="19" cm="1">
        <f t="array" ref="C59">IFERROR(INDEX(Data!$D:$D,MATCH($A59&amp;C$50,Data!$A:$A&amp;Data!$B:$B,0)),IF(C$50=0,0,B59))</f>
        <v>0.389926839591269</v>
      </c>
      <c r="D59" s="19" cm="1">
        <f t="array" ref="D59">IFERROR(INDEX(Data!$D:$D,MATCH($A59&amp;D$50,Data!$A:$A&amp;Data!$B:$B,0)),IF(D$50=0,0,C59))</f>
        <v>0.39446157566962903</v>
      </c>
      <c r="E59" s="19" cm="1">
        <f t="array" ref="E59">IFERROR(INDEX(Data!$D:$D,MATCH($A59&amp;E$50,Data!$A:$A&amp;Data!$B:$B,0)),IF(E$50=0,0,D59))</f>
        <v>0.41483765644839499</v>
      </c>
      <c r="F59" s="19" cm="1">
        <f t="array" ref="F59">IFERROR(INDEX(Data!$D:$D,MATCH($A59&amp;F$50,Data!$A:$A&amp;Data!$B:$B,0)),IF(F$50=0,0,E59))</f>
        <v>0.42082350807183</v>
      </c>
      <c r="G59" s="19">
        <f>F59*(1+G44)</f>
        <v>0.4355929635731724</v>
      </c>
      <c r="H59" s="19">
        <f t="shared" ref="H59:N59" si="7">G59*(1+H44)</f>
        <v>0.4475110832266383</v>
      </c>
      <c r="I59" s="19">
        <f t="shared" si="7"/>
        <v>0.45475916660871973</v>
      </c>
      <c r="J59" s="19">
        <f t="shared" si="7"/>
        <v>0.4589964308314699</v>
      </c>
      <c r="K59" s="19">
        <f t="shared" si="7"/>
        <v>0.46175369292634943</v>
      </c>
      <c r="L59" s="19">
        <f t="shared" si="7"/>
        <v>0.46823099415874114</v>
      </c>
      <c r="M59" s="19">
        <f t="shared" si="7"/>
        <v>0.47369293218617503</v>
      </c>
      <c r="N59" s="19">
        <f t="shared" si="7"/>
        <v>0.47929373314896184</v>
      </c>
      <c r="P59" s="32"/>
      <c r="Q59" s="28"/>
      <c r="R59" s="28"/>
      <c r="S59" s="33"/>
    </row>
    <row r="60" spans="1:19" ht="12.5" x14ac:dyDescent="0.25">
      <c r="A60" s="16">
        <v>44199</v>
      </c>
      <c r="B60" s="19" cm="1">
        <f t="array" ref="B60">IFERROR(INDEX(Data!$D:$D,MATCH($A60&amp;B$50,Data!$A:$A&amp;Data!$B:$B,0)),IF(B$50=0,0,A60))</f>
        <v>0.22837446210591</v>
      </c>
      <c r="C60" s="19" cm="1">
        <f t="array" ref="C60">IFERROR(INDEX(Data!$D:$D,MATCH($A60&amp;C$50,Data!$A:$A&amp;Data!$B:$B,0)),IF(C$50=0,0,B60))</f>
        <v>0.29265829454641201</v>
      </c>
      <c r="D60" s="19" cm="1">
        <f t="array" ref="D60">IFERROR(INDEX(Data!$D:$D,MATCH($A60&amp;D$50,Data!$A:$A&amp;Data!$B:$B,0)),IF(D$50=0,0,C60))</f>
        <v>0.32005796083252802</v>
      </c>
      <c r="E60" s="19" cm="1">
        <f t="array" ref="E60">IFERROR(INDEX(Data!$D:$D,MATCH($A60&amp;E$50,Data!$A:$A&amp;Data!$B:$B,0)),IF(E$50=0,0,D60))</f>
        <v>0.32480021076666399</v>
      </c>
      <c r="F60" s="19">
        <f>E60*(1+F44)</f>
        <v>0.34556323499313929</v>
      </c>
      <c r="G60" s="19">
        <f t="shared" ref="G60:N60" si="8">F60*(1+G44)</f>
        <v>0.357691314162281</v>
      </c>
      <c r="H60" s="19">
        <f t="shared" si="8"/>
        <v>0.36747799172066498</v>
      </c>
      <c r="I60" s="19">
        <f t="shared" si="8"/>
        <v>0.37342982447945788</v>
      </c>
      <c r="J60" s="19">
        <f t="shared" si="8"/>
        <v>0.37690929438607801</v>
      </c>
      <c r="K60" s="19">
        <f t="shared" si="8"/>
        <v>0.37917344643784007</v>
      </c>
      <c r="L60" s="19">
        <f t="shared" si="8"/>
        <v>0.38449234408722771</v>
      </c>
      <c r="M60" s="19">
        <f t="shared" si="8"/>
        <v>0.38897746656230087</v>
      </c>
      <c r="N60" s="19">
        <f t="shared" si="8"/>
        <v>0.3935766176603972</v>
      </c>
      <c r="P60" s="32"/>
      <c r="Q60" s="28"/>
      <c r="R60" s="28"/>
      <c r="S60" s="33"/>
    </row>
    <row r="61" spans="1:19" ht="12.5" x14ac:dyDescent="0.25">
      <c r="A61" s="16">
        <v>44206</v>
      </c>
      <c r="B61" s="19" cm="1">
        <f t="array" ref="B61">IFERROR(INDEX(Data!$D:$D,MATCH($A61&amp;B$50,Data!$A:$A&amp;Data!$B:$B,0)),IF(B$50=0,0,A61))</f>
        <v>0.39940331903785198</v>
      </c>
      <c r="C61" s="19" cm="1">
        <f t="array" ref="C61">IFERROR(INDEX(Data!$D:$D,MATCH($A61&amp;C$50,Data!$A:$A&amp;Data!$B:$B,0)),IF(C$50=0,0,B61))</f>
        <v>0.45790602274846198</v>
      </c>
      <c r="D61" s="19" cm="1">
        <f t="array" ref="D61">IFERROR(INDEX(Data!$D:$D,MATCH($A61&amp;D$50,Data!$A:$A&amp;Data!$B:$B,0)),IF(D$50=0,0,C61))</f>
        <v>0.47035241469326899</v>
      </c>
      <c r="E61" s="19">
        <f>D61*(1+E44)</f>
        <v>0.51004084034826025</v>
      </c>
      <c r="F61" s="19">
        <f t="shared" ref="F61:N61" si="9">E61*(1+F44)</f>
        <v>0.54264546920501489</v>
      </c>
      <c r="G61" s="19">
        <f t="shared" si="9"/>
        <v>0.56169045589587374</v>
      </c>
      <c r="H61" s="19">
        <f t="shared" si="9"/>
        <v>0.5770586886759983</v>
      </c>
      <c r="I61" s="19">
        <f t="shared" si="9"/>
        <v>0.58640498120069084</v>
      </c>
      <c r="J61" s="19">
        <f t="shared" si="9"/>
        <v>0.5918688685268414</v>
      </c>
      <c r="K61" s="19">
        <f t="shared" si="9"/>
        <v>0.59542431577372312</v>
      </c>
      <c r="L61" s="19">
        <f t="shared" si="9"/>
        <v>0.60377669652007981</v>
      </c>
      <c r="M61" s="19">
        <f t="shared" si="9"/>
        <v>0.61081978196282483</v>
      </c>
      <c r="N61" s="19">
        <f t="shared" si="9"/>
        <v>0.61804192903417288</v>
      </c>
      <c r="P61" s="34"/>
      <c r="Q61" s="35"/>
      <c r="R61" s="35"/>
      <c r="S61" s="36"/>
    </row>
    <row r="62" spans="1:19" ht="12.5" x14ac:dyDescent="0.25">
      <c r="A62" s="16">
        <v>44213</v>
      </c>
      <c r="B62" s="19" cm="1">
        <f t="array" ref="B62">IFERROR(INDEX(Data!$D:$D,MATCH($A62&amp;B$50,Data!$A:$A&amp;Data!$B:$B,0)),IF(B$50=0,0,A62))</f>
        <v>0.90318544894620301</v>
      </c>
      <c r="C62" s="19" cm="1">
        <f t="array" ref="C62">IFERROR(INDEX(Data!$D:$D,MATCH($A62&amp;C$50,Data!$A:$A&amp;Data!$B:$B,0)),IF(C$50=0,0,B62))</f>
        <v>1.0252141276104301</v>
      </c>
      <c r="D62" s="19">
        <f>C62*(1+D44)</f>
        <v>1.1509554325441782</v>
      </c>
      <c r="E62" s="19">
        <f t="shared" ref="E62:M62" si="10">D62*(1+E44)</f>
        <v>1.2480732694889018</v>
      </c>
      <c r="F62" s="19">
        <f t="shared" si="10"/>
        <v>1.3278570093751754</v>
      </c>
      <c r="G62" s="19">
        <f t="shared" si="10"/>
        <v>1.3744602162681818</v>
      </c>
      <c r="H62" s="19">
        <f t="shared" si="10"/>
        <v>1.4120663823137476</v>
      </c>
      <c r="I62" s="19">
        <f t="shared" si="10"/>
        <v>1.4349368212004217</v>
      </c>
      <c r="J62" s="19">
        <f t="shared" si="10"/>
        <v>1.4483069891944422</v>
      </c>
      <c r="K62" s="19">
        <f t="shared" si="10"/>
        <v>1.4570071918426872</v>
      </c>
      <c r="L62" s="19">
        <f t="shared" si="10"/>
        <v>1.4774455221124823</v>
      </c>
      <c r="M62" s="19">
        <f t="shared" si="10"/>
        <v>1.4946799982179924</v>
      </c>
      <c r="N62" s="19">
        <f>M62*(1+N44)</f>
        <v>1.5123526392988758</v>
      </c>
    </row>
    <row r="63" spans="1:19" ht="12.5" x14ac:dyDescent="0.25">
      <c r="A63" s="16">
        <v>44220</v>
      </c>
      <c r="B63" s="19" cm="1">
        <f t="array" ref="B63">IFERROR(INDEX(Data!$D:$D,MATCH($A63&amp;B$50,Data!$A:$A&amp;Data!$B:$B,0)),IF(B$50=0,0,A63))</f>
        <v>0.19212678936605301</v>
      </c>
      <c r="C63" s="19">
        <f>B63*(1+C44)</f>
        <v>0.23687076588371644</v>
      </c>
      <c r="D63" s="19">
        <f t="shared" ref="D63:N63" si="11">C63*(1+D44)</f>
        <v>0.26592268625892279</v>
      </c>
      <c r="E63" s="19">
        <f t="shared" si="11"/>
        <v>0.2883612927885511</v>
      </c>
      <c r="F63" s="19">
        <f t="shared" si="11"/>
        <v>0.30679494002669178</v>
      </c>
      <c r="G63" s="19">
        <f t="shared" si="11"/>
        <v>0.31756238558961364</v>
      </c>
      <c r="H63" s="19">
        <f t="shared" si="11"/>
        <v>0.32625110837762833</v>
      </c>
      <c r="I63" s="19">
        <f t="shared" si="11"/>
        <v>0.33153521267280611</v>
      </c>
      <c r="J63" s="19">
        <f t="shared" si="11"/>
        <v>0.33462432532493008</v>
      </c>
      <c r="K63" s="19">
        <f t="shared" si="11"/>
        <v>0.33663446506952832</v>
      </c>
      <c r="L63" s="19">
        <f t="shared" si="11"/>
        <v>0.34135664243131969</v>
      </c>
      <c r="M63" s="19">
        <f t="shared" si="11"/>
        <v>0.34533858478343293</v>
      </c>
      <c r="N63" s="19">
        <f t="shared" si="11"/>
        <v>0.34942176303398431</v>
      </c>
    </row>
    <row r="64" spans="1:19" ht="24.5" customHeight="1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0" t="s">
        <v>6</v>
      </c>
      <c r="N64" s="23">
        <f>AVERAGE(N51:N63)</f>
        <v>1.4696277201513606</v>
      </c>
    </row>
  </sheetData>
  <mergeCells count="8">
    <mergeCell ref="P51:S61"/>
    <mergeCell ref="B4:O4"/>
    <mergeCell ref="P10:S20"/>
    <mergeCell ref="P30:S40"/>
    <mergeCell ref="B8:N8"/>
    <mergeCell ref="B28:N28"/>
    <mergeCell ref="B49:N49"/>
    <mergeCell ref="B2:O2"/>
  </mergeCells>
  <conditionalFormatting sqref="N51:N6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0:N4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:N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84F20-9FC6-4664-B6DF-5B026D29B288}">
  <dimension ref="A1"/>
  <sheetViews>
    <sheetView workbookViewId="0">
      <selection activeCell="B2" sqref="B2"/>
    </sheetView>
  </sheetViews>
  <sheetFormatPr defaultRowHeight="12.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92"/>
  <sheetViews>
    <sheetView workbookViewId="0">
      <selection activeCell="G1" sqref="G1:T21"/>
    </sheetView>
  </sheetViews>
  <sheetFormatPr defaultColWidth="12.6328125" defaultRowHeight="15.75" customHeight="1" x14ac:dyDescent="0.25"/>
  <cols>
    <col min="7" max="7" width="22.08984375" style="9" customWidth="1"/>
  </cols>
  <sheetData>
    <row r="1" spans="1:7" ht="15.75" customHeight="1" x14ac:dyDescent="0.25">
      <c r="A1" s="5" t="s">
        <v>1</v>
      </c>
      <c r="B1" s="5" t="s">
        <v>2</v>
      </c>
      <c r="C1" s="5" t="s">
        <v>3</v>
      </c>
      <c r="D1" s="5" t="s">
        <v>4</v>
      </c>
      <c r="G1"/>
    </row>
    <row r="2" spans="1:7" ht="15.75" customHeight="1" x14ac:dyDescent="0.25">
      <c r="A2" s="10">
        <v>44136</v>
      </c>
      <c r="B2" s="5">
        <v>0</v>
      </c>
      <c r="C2" s="5">
        <v>0.93799183185576196</v>
      </c>
      <c r="D2" s="5">
        <v>0.93799183185576196</v>
      </c>
      <c r="G2"/>
    </row>
    <row r="3" spans="1:7" ht="15.75" customHeight="1" x14ac:dyDescent="0.25">
      <c r="A3" s="10">
        <v>44136</v>
      </c>
      <c r="B3" s="5">
        <v>1</v>
      </c>
      <c r="C3" s="5">
        <v>0.32637712919613499</v>
      </c>
      <c r="D3" s="5">
        <v>1.2643689610519</v>
      </c>
      <c r="G3"/>
    </row>
    <row r="4" spans="1:7" ht="15.75" customHeight="1" x14ac:dyDescent="0.25">
      <c r="A4" s="10">
        <v>44136</v>
      </c>
      <c r="B4" s="5">
        <v>2</v>
      </c>
      <c r="C4" s="5">
        <v>0.26720788923199501</v>
      </c>
      <c r="D4" s="5">
        <v>1.53157685028389</v>
      </c>
      <c r="G4"/>
    </row>
    <row r="5" spans="1:7" ht="15.75" customHeight="1" x14ac:dyDescent="0.25">
      <c r="A5" s="10">
        <v>44136</v>
      </c>
      <c r="B5" s="5">
        <v>3</v>
      </c>
      <c r="C5" s="5">
        <v>0.26172925590198198</v>
      </c>
      <c r="D5" s="5">
        <v>1.7933061061858799</v>
      </c>
      <c r="G5"/>
    </row>
    <row r="6" spans="1:7" ht="15.75" customHeight="1" x14ac:dyDescent="0.25">
      <c r="A6" s="10">
        <v>44136</v>
      </c>
      <c r="B6" s="5">
        <v>4</v>
      </c>
      <c r="C6" s="5">
        <v>0.15987648172128699</v>
      </c>
      <c r="D6" s="5">
        <v>1.95318258790716</v>
      </c>
      <c r="G6"/>
    </row>
    <row r="7" spans="1:7" ht="15.75" customHeight="1" x14ac:dyDescent="0.25">
      <c r="A7" s="10">
        <v>44136</v>
      </c>
      <c r="B7" s="5">
        <v>5</v>
      </c>
      <c r="C7" s="5">
        <v>0.15320251021018</v>
      </c>
      <c r="D7" s="5">
        <v>2.10638509811734</v>
      </c>
      <c r="G7"/>
    </row>
    <row r="8" spans="1:7" ht="15.75" customHeight="1" x14ac:dyDescent="0.25">
      <c r="A8" s="10">
        <v>44136</v>
      </c>
      <c r="B8" s="5">
        <v>6</v>
      </c>
      <c r="C8" s="5">
        <v>0.165305309293754</v>
      </c>
      <c r="D8" s="5">
        <v>2.2716904074111</v>
      </c>
      <c r="G8"/>
    </row>
    <row r="9" spans="1:7" ht="15.75" customHeight="1" x14ac:dyDescent="0.25">
      <c r="A9" s="10">
        <v>44136</v>
      </c>
      <c r="B9" s="5">
        <v>7</v>
      </c>
      <c r="C9" s="5">
        <v>2.5002490287877301E-2</v>
      </c>
      <c r="D9" s="5">
        <v>2.29669289769897</v>
      </c>
      <c r="G9"/>
    </row>
    <row r="10" spans="1:7" ht="15.75" customHeight="1" x14ac:dyDescent="0.25">
      <c r="A10" s="10">
        <v>44136</v>
      </c>
      <c r="B10" s="5">
        <v>8</v>
      </c>
      <c r="C10" s="5">
        <v>7.8195039346548399E-3</v>
      </c>
      <c r="D10" s="5">
        <v>2.3045124016336298</v>
      </c>
      <c r="G10"/>
    </row>
    <row r="11" spans="1:7" ht="15.75" customHeight="1" x14ac:dyDescent="0.25">
      <c r="A11" s="10">
        <v>44136</v>
      </c>
      <c r="B11" s="5">
        <v>9</v>
      </c>
      <c r="C11" s="5">
        <v>1.37961948401235E-2</v>
      </c>
      <c r="D11" s="5">
        <v>2.31830859647375</v>
      </c>
      <c r="G11"/>
    </row>
    <row r="12" spans="1:7" ht="15.75" customHeight="1" x14ac:dyDescent="0.25">
      <c r="A12" s="10">
        <v>44136</v>
      </c>
      <c r="B12" s="5">
        <v>10</v>
      </c>
      <c r="C12" s="5">
        <v>2.31596772586911E-2</v>
      </c>
      <c r="D12" s="5">
        <v>2.3414682737324402</v>
      </c>
      <c r="G12"/>
    </row>
    <row r="13" spans="1:7" ht="15.75" customHeight="1" x14ac:dyDescent="0.25">
      <c r="A13" s="10">
        <v>44136</v>
      </c>
      <c r="B13" s="5">
        <v>11</v>
      </c>
      <c r="C13" s="5">
        <v>1.4941727263671699E-2</v>
      </c>
      <c r="D13" s="5">
        <v>2.35641000099612</v>
      </c>
      <c r="G13"/>
    </row>
    <row r="14" spans="1:7" ht="15.75" customHeight="1" x14ac:dyDescent="0.25">
      <c r="A14" s="10">
        <v>44136</v>
      </c>
      <c r="B14" s="5">
        <v>12</v>
      </c>
      <c r="C14" s="5">
        <v>1.8179101504133901E-2</v>
      </c>
      <c r="D14" s="5">
        <v>2.3745891025002499</v>
      </c>
      <c r="G14"/>
    </row>
    <row r="15" spans="1:7" ht="15.75" customHeight="1" x14ac:dyDescent="0.25">
      <c r="A15" s="10">
        <v>44143</v>
      </c>
      <c r="B15" s="5">
        <v>0</v>
      </c>
      <c r="C15" s="5">
        <v>1.1919664859536701</v>
      </c>
      <c r="D15" s="5">
        <v>1.1919664859536701</v>
      </c>
      <c r="G15"/>
    </row>
    <row r="16" spans="1:7" ht="15.75" customHeight="1" x14ac:dyDescent="0.25">
      <c r="A16" s="10">
        <v>44143</v>
      </c>
      <c r="B16" s="5">
        <v>1</v>
      </c>
      <c r="C16" s="5">
        <v>0.38128388368654498</v>
      </c>
      <c r="D16" s="5">
        <v>1.57325036964022</v>
      </c>
      <c r="G16"/>
    </row>
    <row r="17" spans="1:7" ht="15.75" customHeight="1" x14ac:dyDescent="0.25">
      <c r="A17" s="10">
        <v>44143</v>
      </c>
      <c r="B17" s="5">
        <v>2</v>
      </c>
      <c r="C17" s="5">
        <v>0.28123459832429798</v>
      </c>
      <c r="D17" s="5">
        <v>1.8544849679645099</v>
      </c>
      <c r="G17"/>
    </row>
    <row r="18" spans="1:7" ht="15.75" customHeight="1" x14ac:dyDescent="0.25">
      <c r="A18" s="10">
        <v>44143</v>
      </c>
      <c r="B18" s="5">
        <v>3</v>
      </c>
      <c r="C18" s="5">
        <v>0.22930014785608699</v>
      </c>
      <c r="D18" s="5">
        <v>2.0837851158206</v>
      </c>
      <c r="G18"/>
    </row>
    <row r="19" spans="1:7" ht="15.75" customHeight="1" x14ac:dyDescent="0.25">
      <c r="A19" s="10">
        <v>44143</v>
      </c>
      <c r="B19" s="5">
        <v>4</v>
      </c>
      <c r="C19" s="5">
        <v>0.27655248891079298</v>
      </c>
      <c r="D19" s="5">
        <v>2.3603376047313902</v>
      </c>
      <c r="G19"/>
    </row>
    <row r="20" spans="1:7" ht="15.75" customHeight="1" x14ac:dyDescent="0.25">
      <c r="A20" s="10">
        <v>44143</v>
      </c>
      <c r="B20" s="5">
        <v>5</v>
      </c>
      <c r="C20" s="5">
        <v>0.10448496796451499</v>
      </c>
      <c r="D20" s="5">
        <v>2.4648225726959101</v>
      </c>
      <c r="G20"/>
    </row>
    <row r="21" spans="1:7" ht="15.75" customHeight="1" x14ac:dyDescent="0.25">
      <c r="A21" s="10">
        <v>44143</v>
      </c>
      <c r="B21" s="5">
        <v>6</v>
      </c>
      <c r="C21" s="5">
        <v>3.9366683095120703E-2</v>
      </c>
      <c r="D21" s="5">
        <v>2.5041892557910299</v>
      </c>
      <c r="G21"/>
    </row>
    <row r="22" spans="1:7" ht="15.75" customHeight="1" x14ac:dyDescent="0.25">
      <c r="A22" s="10">
        <v>44143</v>
      </c>
      <c r="B22" s="5">
        <v>7</v>
      </c>
      <c r="C22" s="5">
        <v>6.9369147363233102E-2</v>
      </c>
      <c r="D22" s="5">
        <v>2.57355840315426</v>
      </c>
    </row>
    <row r="23" spans="1:7" ht="15.75" customHeight="1" x14ac:dyDescent="0.25">
      <c r="A23" s="10">
        <v>44143</v>
      </c>
      <c r="B23" s="5">
        <v>9</v>
      </c>
      <c r="C23" s="5">
        <v>1.2013307047806799E-2</v>
      </c>
      <c r="D23" s="5">
        <v>2.5855717102020699</v>
      </c>
    </row>
    <row r="24" spans="1:7" ht="15.75" customHeight="1" x14ac:dyDescent="0.25">
      <c r="A24" s="10">
        <v>44143</v>
      </c>
      <c r="B24" s="5">
        <v>10</v>
      </c>
      <c r="C24" s="5">
        <v>3.5485460818136999E-2</v>
      </c>
      <c r="D24" s="5">
        <v>2.62105717102021</v>
      </c>
    </row>
    <row r="25" spans="1:7" ht="15.75" customHeight="1" x14ac:dyDescent="0.25">
      <c r="A25" s="10">
        <v>44143</v>
      </c>
      <c r="B25" s="5">
        <v>11</v>
      </c>
      <c r="C25" s="5">
        <v>2.0515032035485499E-2</v>
      </c>
      <c r="D25" s="5">
        <v>2.6415722030556901</v>
      </c>
    </row>
    <row r="26" spans="1:7" ht="15.75" customHeight="1" x14ac:dyDescent="0.25">
      <c r="A26" s="10">
        <v>44150</v>
      </c>
      <c r="B26" s="5">
        <v>0</v>
      </c>
      <c r="C26" s="5">
        <v>1.3817315774726799</v>
      </c>
      <c r="D26" s="5">
        <v>1.3817315774726799</v>
      </c>
    </row>
    <row r="27" spans="1:7" ht="15.75" customHeight="1" x14ac:dyDescent="0.25">
      <c r="A27" s="10">
        <v>44150</v>
      </c>
      <c r="B27" s="5">
        <v>1</v>
      </c>
      <c r="C27" s="5">
        <v>0.296777808910059</v>
      </c>
      <c r="D27" s="5">
        <v>1.6785093863827401</v>
      </c>
    </row>
    <row r="28" spans="1:7" ht="15.75" customHeight="1" x14ac:dyDescent="0.25">
      <c r="A28" s="10">
        <v>44150</v>
      </c>
      <c r="B28" s="5">
        <v>2</v>
      </c>
      <c r="C28" s="5">
        <v>0.21871672737461501</v>
      </c>
      <c r="D28" s="5">
        <v>1.8972261137573601</v>
      </c>
    </row>
    <row r="29" spans="1:7" ht="15.75" customHeight="1" x14ac:dyDescent="0.25">
      <c r="A29" s="10">
        <v>44150</v>
      </c>
      <c r="B29" s="5">
        <v>3</v>
      </c>
      <c r="C29" s="5">
        <v>0.227570748108714</v>
      </c>
      <c r="D29" s="5">
        <v>2.12479686186607</v>
      </c>
    </row>
    <row r="30" spans="1:7" ht="15.75" customHeight="1" x14ac:dyDescent="0.25">
      <c r="A30" s="10">
        <v>44150</v>
      </c>
      <c r="B30" s="5">
        <v>4</v>
      </c>
      <c r="C30" s="5">
        <v>0.167105631829644</v>
      </c>
      <c r="D30" s="5">
        <v>2.29190249369571</v>
      </c>
    </row>
    <row r="31" spans="1:7" ht="15.75" customHeight="1" x14ac:dyDescent="0.25">
      <c r="A31" s="10">
        <v>44150</v>
      </c>
      <c r="B31" s="5">
        <v>5</v>
      </c>
      <c r="C31" s="5">
        <v>2.56094144017932E-2</v>
      </c>
      <c r="D31" s="5">
        <v>2.3175119080975102</v>
      </c>
    </row>
    <row r="32" spans="1:7" ht="15.75" customHeight="1" x14ac:dyDescent="0.25">
      <c r="A32" s="10">
        <v>44150</v>
      </c>
      <c r="B32" s="5">
        <v>6</v>
      </c>
      <c r="C32" s="5">
        <v>2.8803586438778402E-2</v>
      </c>
      <c r="D32" s="5">
        <v>2.3463154945362801</v>
      </c>
    </row>
    <row r="33" spans="1:4" ht="15.75" customHeight="1" x14ac:dyDescent="0.25">
      <c r="A33" s="10">
        <v>44150</v>
      </c>
      <c r="B33" s="5">
        <v>7</v>
      </c>
      <c r="C33" s="5">
        <v>2.2022975623423899E-2</v>
      </c>
      <c r="D33" s="5">
        <v>2.3683384701597099</v>
      </c>
    </row>
    <row r="34" spans="1:4" ht="15.75" customHeight="1" x14ac:dyDescent="0.25">
      <c r="A34" s="10">
        <v>44150</v>
      </c>
      <c r="B34" s="5">
        <v>8</v>
      </c>
      <c r="C34" s="5">
        <v>2.0958251611095501E-2</v>
      </c>
      <c r="D34" s="5">
        <v>2.3892967217707999</v>
      </c>
    </row>
    <row r="35" spans="1:4" ht="15.75" customHeight="1" x14ac:dyDescent="0.25">
      <c r="A35" s="10">
        <v>44150</v>
      </c>
      <c r="B35" s="5">
        <v>9</v>
      </c>
      <c r="C35" s="5">
        <v>6.22022975623424E-3</v>
      </c>
      <c r="D35" s="5">
        <v>2.39551695152704</v>
      </c>
    </row>
    <row r="36" spans="1:4" ht="15.75" customHeight="1" x14ac:dyDescent="0.25">
      <c r="A36" s="10">
        <v>44150</v>
      </c>
      <c r="B36" s="5">
        <v>10</v>
      </c>
      <c r="C36" s="5">
        <v>4.4270103670495898E-3</v>
      </c>
      <c r="D36" s="5">
        <v>2.3999439618940901</v>
      </c>
    </row>
    <row r="37" spans="1:4" ht="12.5" x14ac:dyDescent="0.25">
      <c r="A37" s="10">
        <v>44157</v>
      </c>
      <c r="B37" s="5">
        <v>0</v>
      </c>
      <c r="C37" s="5">
        <v>1.6472475429036999</v>
      </c>
      <c r="D37" s="5">
        <v>1.6472475429036999</v>
      </c>
    </row>
    <row r="38" spans="1:4" ht="12.5" x14ac:dyDescent="0.25">
      <c r="A38" s="10">
        <v>44157</v>
      </c>
      <c r="B38" s="5">
        <v>1</v>
      </c>
      <c r="C38" s="5">
        <v>0.23588124458929599</v>
      </c>
      <c r="D38" s="5">
        <v>1.8831287874930001</v>
      </c>
    </row>
    <row r="39" spans="1:4" ht="12.5" x14ac:dyDescent="0.25">
      <c r="A39" s="10">
        <v>44157</v>
      </c>
      <c r="B39" s="5">
        <v>2</v>
      </c>
      <c r="C39" s="5">
        <v>0.22533991953964499</v>
      </c>
      <c r="D39" s="5">
        <v>2.1084687070326402</v>
      </c>
    </row>
    <row r="40" spans="1:4" ht="12.5" x14ac:dyDescent="0.25">
      <c r="A40" s="10">
        <v>44157</v>
      </c>
      <c r="B40" s="5">
        <v>3</v>
      </c>
      <c r="C40" s="5">
        <v>0.119366502011509</v>
      </c>
      <c r="D40" s="5">
        <v>2.2278352090441502</v>
      </c>
    </row>
    <row r="41" spans="1:4" ht="12.5" x14ac:dyDescent="0.25">
      <c r="A41" s="10">
        <v>44157</v>
      </c>
      <c r="B41" s="5">
        <v>4</v>
      </c>
      <c r="C41" s="5">
        <v>3.7021948362784503E-2</v>
      </c>
      <c r="D41" s="5">
        <v>2.26485715740694</v>
      </c>
    </row>
    <row r="42" spans="1:4" ht="12.5" x14ac:dyDescent="0.25">
      <c r="A42" s="10">
        <v>44157</v>
      </c>
      <c r="B42" s="5">
        <v>5</v>
      </c>
      <c r="C42" s="5">
        <v>1.32403116565667E-2</v>
      </c>
      <c r="D42" s="5">
        <v>2.2780974690634999</v>
      </c>
    </row>
    <row r="43" spans="1:4" ht="12.5" x14ac:dyDescent="0.25">
      <c r="A43" s="10">
        <v>44157</v>
      </c>
      <c r="B43" s="5">
        <v>6</v>
      </c>
      <c r="C43" s="5">
        <v>6.4164587258746198E-3</v>
      </c>
      <c r="D43" s="5">
        <v>2.28451392778938</v>
      </c>
    </row>
    <row r="44" spans="1:4" ht="12.5" x14ac:dyDescent="0.25">
      <c r="A44" s="10">
        <v>44157</v>
      </c>
      <c r="B44" s="5">
        <v>7</v>
      </c>
      <c r="C44" s="5">
        <v>1.05922493252533E-2</v>
      </c>
      <c r="D44" s="5">
        <v>2.2951061771146302</v>
      </c>
    </row>
    <row r="45" spans="1:4" ht="12.5" x14ac:dyDescent="0.25">
      <c r="A45" s="10">
        <v>44157</v>
      </c>
      <c r="B45" s="5">
        <v>8</v>
      </c>
      <c r="C45" s="5">
        <v>3.4577583133879902E-2</v>
      </c>
      <c r="D45" s="5">
        <v>2.3296837602485101</v>
      </c>
    </row>
    <row r="46" spans="1:4" ht="12.5" x14ac:dyDescent="0.25">
      <c r="A46" s="10">
        <v>44157</v>
      </c>
      <c r="B46" s="5">
        <v>9</v>
      </c>
      <c r="C46" s="5">
        <v>3.7683963945612901E-3</v>
      </c>
      <c r="D46" s="5">
        <v>2.3334521566430699</v>
      </c>
    </row>
    <row r="47" spans="1:4" ht="12.5" x14ac:dyDescent="0.25">
      <c r="A47" s="10">
        <v>44164</v>
      </c>
      <c r="B47" s="5">
        <v>0</v>
      </c>
      <c r="C47" s="5">
        <v>1.31940339229685</v>
      </c>
      <c r="D47" s="5">
        <v>1.31940339229685</v>
      </c>
    </row>
    <row r="48" spans="1:4" ht="12.5" x14ac:dyDescent="0.25">
      <c r="A48" s="10">
        <v>44164</v>
      </c>
      <c r="B48" s="5">
        <v>1</v>
      </c>
      <c r="C48" s="5">
        <v>0.36342139966349901</v>
      </c>
      <c r="D48" s="5">
        <v>1.6828247919603501</v>
      </c>
    </row>
    <row r="49" spans="1:4" ht="12.5" x14ac:dyDescent="0.25">
      <c r="A49" s="10">
        <v>44164</v>
      </c>
      <c r="B49" s="5">
        <v>2</v>
      </c>
      <c r="C49" s="5">
        <v>0.24328134236733201</v>
      </c>
      <c r="D49" s="5">
        <v>1.92610613432768</v>
      </c>
    </row>
    <row r="50" spans="1:4" ht="12.5" x14ac:dyDescent="0.25">
      <c r="A50" s="10">
        <v>44164</v>
      </c>
      <c r="B50" s="5">
        <v>3</v>
      </c>
      <c r="C50" s="5">
        <v>4.8019644399981798E-2</v>
      </c>
      <c r="D50" s="5">
        <v>1.97412577872766</v>
      </c>
    </row>
    <row r="51" spans="1:4" ht="12.5" x14ac:dyDescent="0.25">
      <c r="A51" s="10">
        <v>44164</v>
      </c>
      <c r="B51" s="5">
        <v>4</v>
      </c>
      <c r="C51" s="5">
        <v>1.24141694329498E-2</v>
      </c>
      <c r="D51" s="5">
        <v>1.9865399481606101</v>
      </c>
    </row>
    <row r="52" spans="1:4" ht="12.5" x14ac:dyDescent="0.25">
      <c r="A52" s="10">
        <v>44164</v>
      </c>
      <c r="B52" s="5">
        <v>5</v>
      </c>
      <c r="C52" s="5">
        <v>2.2145423127643098E-2</v>
      </c>
      <c r="D52" s="5">
        <v>2.0086853712882502</v>
      </c>
    </row>
    <row r="53" spans="1:4" ht="12.5" x14ac:dyDescent="0.25">
      <c r="A53" s="10">
        <v>44164</v>
      </c>
      <c r="B53" s="5">
        <v>6</v>
      </c>
      <c r="C53" s="5">
        <v>6.0934018462098097E-3</v>
      </c>
      <c r="D53" s="5">
        <v>2.0147787731344602</v>
      </c>
    </row>
    <row r="54" spans="1:4" ht="12.5" x14ac:dyDescent="0.25">
      <c r="A54" s="10">
        <v>44164</v>
      </c>
      <c r="B54" s="5">
        <v>7</v>
      </c>
      <c r="C54" s="5">
        <v>1.19594379518894E-2</v>
      </c>
      <c r="D54" s="5">
        <v>2.0267382110863501</v>
      </c>
    </row>
    <row r="55" spans="1:4" ht="12.5" x14ac:dyDescent="0.25">
      <c r="A55" s="10">
        <v>44164</v>
      </c>
      <c r="B55" s="5">
        <v>8</v>
      </c>
      <c r="C55" s="5">
        <v>5.4113046246191598E-3</v>
      </c>
      <c r="D55" s="5">
        <v>2.0321495157109699</v>
      </c>
    </row>
    <row r="56" spans="1:4" ht="12.5" x14ac:dyDescent="0.25">
      <c r="A56" s="10">
        <v>44171</v>
      </c>
      <c r="B56" s="5">
        <v>0</v>
      </c>
      <c r="C56" s="5">
        <v>1.2025722327122399</v>
      </c>
      <c r="D56" s="5">
        <v>1.2025722327122399</v>
      </c>
    </row>
    <row r="57" spans="1:4" ht="12.5" x14ac:dyDescent="0.25">
      <c r="A57" s="10">
        <v>44171</v>
      </c>
      <c r="B57" s="5">
        <v>1</v>
      </c>
      <c r="C57" s="5">
        <v>0.32943817022337801</v>
      </c>
      <c r="D57" s="5">
        <v>1.5320104029356201</v>
      </c>
    </row>
    <row r="58" spans="1:4" ht="12.5" x14ac:dyDescent="0.25">
      <c r="A58" s="10">
        <v>44171</v>
      </c>
      <c r="B58" s="5">
        <v>2</v>
      </c>
      <c r="C58" s="5">
        <v>8.1477786882325695E-2</v>
      </c>
      <c r="D58" s="5">
        <v>1.6134881898179501</v>
      </c>
    </row>
    <row r="59" spans="1:4" ht="12.5" x14ac:dyDescent="0.25">
      <c r="A59" s="10">
        <v>44171</v>
      </c>
      <c r="B59" s="5">
        <v>3</v>
      </c>
      <c r="C59" s="5">
        <v>3.44151911361288E-2</v>
      </c>
      <c r="D59" s="5">
        <v>1.64790338095408</v>
      </c>
    </row>
    <row r="60" spans="1:4" ht="12.5" x14ac:dyDescent="0.25">
      <c r="A60" s="10">
        <v>44171</v>
      </c>
      <c r="B60" s="5">
        <v>4</v>
      </c>
      <c r="C60" s="5">
        <v>2.0841497737717801E-2</v>
      </c>
      <c r="D60" s="5">
        <v>1.6687448786918</v>
      </c>
    </row>
    <row r="61" spans="1:4" ht="12.5" x14ac:dyDescent="0.25">
      <c r="A61" s="10">
        <v>44171</v>
      </c>
      <c r="B61" s="5">
        <v>5</v>
      </c>
      <c r="C61" s="5">
        <v>2.6933627845666001E-2</v>
      </c>
      <c r="D61" s="5">
        <v>1.69567850653746</v>
      </c>
    </row>
    <row r="62" spans="1:4" ht="12.5" x14ac:dyDescent="0.25">
      <c r="A62" s="10">
        <v>44171</v>
      </c>
      <c r="B62" s="5">
        <v>6</v>
      </c>
      <c r="C62" s="5">
        <v>2.4404146923652399E-2</v>
      </c>
      <c r="D62" s="5">
        <v>1.72008265346111</v>
      </c>
    </row>
    <row r="63" spans="1:4" ht="12.5" x14ac:dyDescent="0.25">
      <c r="A63" s="10">
        <v>44171</v>
      </c>
      <c r="B63" s="5">
        <v>7</v>
      </c>
      <c r="C63" s="5">
        <v>2.2088424952794901E-3</v>
      </c>
      <c r="D63" s="5">
        <v>1.72229149595639</v>
      </c>
    </row>
    <row r="64" spans="1:4" ht="12.5" x14ac:dyDescent="0.25">
      <c r="A64" s="10">
        <v>44178</v>
      </c>
      <c r="B64" s="5">
        <v>0</v>
      </c>
      <c r="C64" s="5">
        <v>1.00822963463603</v>
      </c>
      <c r="D64" s="5">
        <v>1.00822963463603</v>
      </c>
    </row>
    <row r="65" spans="1:4" ht="12.5" x14ac:dyDescent="0.25">
      <c r="A65" s="10">
        <v>44178</v>
      </c>
      <c r="B65" s="5">
        <v>1</v>
      </c>
      <c r="C65" s="5">
        <v>0.107820140738679</v>
      </c>
      <c r="D65" s="5">
        <v>1.1160497753747101</v>
      </c>
    </row>
    <row r="66" spans="1:4" ht="12.5" x14ac:dyDescent="0.25">
      <c r="A66" s="10">
        <v>44178</v>
      </c>
      <c r="B66" s="5">
        <v>2</v>
      </c>
      <c r="C66" s="5">
        <v>4.0233769331690102E-2</v>
      </c>
      <c r="D66" s="5">
        <v>1.1562835447063999</v>
      </c>
    </row>
    <row r="67" spans="1:4" ht="12.5" x14ac:dyDescent="0.25">
      <c r="A67" s="10">
        <v>44178</v>
      </c>
      <c r="B67" s="5">
        <v>3</v>
      </c>
      <c r="C67" s="5">
        <v>3.0215083687830501E-2</v>
      </c>
      <c r="D67" s="5">
        <v>1.18649862839423</v>
      </c>
    </row>
    <row r="68" spans="1:4" ht="12.5" x14ac:dyDescent="0.25">
      <c r="A68" s="10">
        <v>44178</v>
      </c>
      <c r="B68" s="5">
        <v>4</v>
      </c>
      <c r="C68" s="5">
        <v>4.0830119667634099E-2</v>
      </c>
      <c r="D68" s="5">
        <v>1.22732874806186</v>
      </c>
    </row>
    <row r="69" spans="1:4" ht="12.5" x14ac:dyDescent="0.25">
      <c r="A69" s="10">
        <v>44178</v>
      </c>
      <c r="B69" s="5">
        <v>5</v>
      </c>
      <c r="C69" s="5">
        <v>2.9817516797201099E-2</v>
      </c>
      <c r="D69" s="5">
        <v>1.2571462648590599</v>
      </c>
    </row>
    <row r="70" spans="1:4" ht="12.5" x14ac:dyDescent="0.25">
      <c r="A70" s="10">
        <v>44178</v>
      </c>
      <c r="B70" s="5">
        <v>6</v>
      </c>
      <c r="C70" s="5">
        <v>3.9756689062934802E-4</v>
      </c>
      <c r="D70" s="5">
        <v>1.2575438317496901</v>
      </c>
    </row>
    <row r="71" spans="1:4" ht="12.5" x14ac:dyDescent="0.25">
      <c r="A71" s="10">
        <v>44185</v>
      </c>
      <c r="B71" s="5">
        <v>0</v>
      </c>
      <c r="C71" s="5">
        <v>0.36870443073471698</v>
      </c>
      <c r="D71" s="5">
        <v>0.36870443073471698</v>
      </c>
    </row>
    <row r="72" spans="1:4" ht="12.5" x14ac:dyDescent="0.25">
      <c r="A72" s="10">
        <v>44185</v>
      </c>
      <c r="B72" s="5">
        <v>1</v>
      </c>
      <c r="C72" s="5">
        <v>5.38418395961862E-2</v>
      </c>
      <c r="D72" s="5">
        <v>0.42254627033090297</v>
      </c>
    </row>
    <row r="73" spans="1:4" ht="12.5" x14ac:dyDescent="0.25">
      <c r="A73" s="10">
        <v>44185</v>
      </c>
      <c r="B73" s="5">
        <v>2</v>
      </c>
      <c r="C73" s="5">
        <v>2.0919798093101499E-2</v>
      </c>
      <c r="D73" s="5">
        <v>0.44346606842400399</v>
      </c>
    </row>
    <row r="74" spans="1:4" ht="12.5" x14ac:dyDescent="0.25">
      <c r="A74" s="10">
        <v>44185</v>
      </c>
      <c r="B74" s="5">
        <v>3</v>
      </c>
      <c r="C74" s="5">
        <v>2.3275378575434699E-2</v>
      </c>
      <c r="D74" s="5">
        <v>0.46674144699943898</v>
      </c>
    </row>
    <row r="75" spans="1:4" ht="12.5" x14ac:dyDescent="0.25">
      <c r="A75" s="10">
        <v>44185</v>
      </c>
      <c r="B75" s="5">
        <v>4</v>
      </c>
      <c r="C75" s="5">
        <v>1.8003365114974801E-2</v>
      </c>
      <c r="D75" s="5">
        <v>0.484744812114414</v>
      </c>
    </row>
    <row r="76" spans="1:4" ht="12.5" x14ac:dyDescent="0.25">
      <c r="A76" s="10">
        <v>44185</v>
      </c>
      <c r="B76" s="5">
        <v>5</v>
      </c>
      <c r="C76" s="5">
        <v>8.0762759394279304E-3</v>
      </c>
      <c r="D76" s="5">
        <v>0.492821088053842</v>
      </c>
    </row>
    <row r="77" spans="1:4" ht="12.5" x14ac:dyDescent="0.25">
      <c r="A77" s="10">
        <v>44192</v>
      </c>
      <c r="B77" s="5">
        <v>0</v>
      </c>
      <c r="C77" s="5">
        <v>0.33907733236592302</v>
      </c>
      <c r="D77" s="5">
        <v>0.33907733236592302</v>
      </c>
    </row>
    <row r="78" spans="1:4" ht="12.5" x14ac:dyDescent="0.25">
      <c r="A78" s="10">
        <v>44192</v>
      </c>
      <c r="B78" s="5">
        <v>1</v>
      </c>
      <c r="C78" s="5">
        <v>5.0849507225346202E-2</v>
      </c>
      <c r="D78" s="5">
        <v>0.389926839591269</v>
      </c>
    </row>
    <row r="79" spans="1:4" ht="12.5" x14ac:dyDescent="0.25">
      <c r="A79" s="10">
        <v>44192</v>
      </c>
      <c r="B79" s="5">
        <v>2</v>
      </c>
      <c r="C79" s="5">
        <v>4.5347360783602403E-3</v>
      </c>
      <c r="D79" s="5">
        <v>0.39446157566962903</v>
      </c>
    </row>
    <row r="80" spans="1:4" ht="12.5" x14ac:dyDescent="0.25">
      <c r="A80" s="10">
        <v>44192</v>
      </c>
      <c r="B80" s="5">
        <v>3</v>
      </c>
      <c r="C80" s="5">
        <v>2.03760807787653E-2</v>
      </c>
      <c r="D80" s="5">
        <v>0.41483765644839499</v>
      </c>
    </row>
    <row r="81" spans="1:4" ht="12.5" x14ac:dyDescent="0.25">
      <c r="A81" s="10">
        <v>44192</v>
      </c>
      <c r="B81" s="5">
        <v>4</v>
      </c>
      <c r="C81" s="5">
        <v>5.9858516234355197E-3</v>
      </c>
      <c r="D81" s="5">
        <v>0.42082350807183</v>
      </c>
    </row>
    <row r="82" spans="1:4" ht="12.5" x14ac:dyDescent="0.25">
      <c r="A82" s="10">
        <v>44199</v>
      </c>
      <c r="B82" s="5">
        <v>0</v>
      </c>
      <c r="C82" s="5">
        <v>0.22837446210591</v>
      </c>
      <c r="D82" s="5">
        <v>0.22837446210591</v>
      </c>
    </row>
    <row r="83" spans="1:4" ht="12.5" x14ac:dyDescent="0.25">
      <c r="A83" s="10">
        <v>44199</v>
      </c>
      <c r="B83" s="5">
        <v>1</v>
      </c>
      <c r="C83" s="5">
        <v>6.42838324405023E-2</v>
      </c>
      <c r="D83" s="5">
        <v>0.29265829454641201</v>
      </c>
    </row>
    <row r="84" spans="1:4" ht="12.5" x14ac:dyDescent="0.25">
      <c r="A84" s="10">
        <v>44199</v>
      </c>
      <c r="B84" s="5">
        <v>2</v>
      </c>
      <c r="C84" s="5">
        <v>2.7399666286115801E-2</v>
      </c>
      <c r="D84" s="5">
        <v>0.32005796083252802</v>
      </c>
    </row>
    <row r="85" spans="1:4" ht="12.5" x14ac:dyDescent="0.25">
      <c r="A85" s="10">
        <v>44199</v>
      </c>
      <c r="B85" s="5">
        <v>3</v>
      </c>
      <c r="C85" s="5">
        <v>4.7422499341354197E-3</v>
      </c>
      <c r="D85" s="5">
        <v>0.32480021076666399</v>
      </c>
    </row>
    <row r="86" spans="1:4" ht="12.5" x14ac:dyDescent="0.25">
      <c r="A86" s="10">
        <v>44206</v>
      </c>
      <c r="B86" s="5">
        <v>0</v>
      </c>
      <c r="C86" s="5">
        <v>0.39940331903785198</v>
      </c>
      <c r="D86" s="5">
        <v>0.39940331903785198</v>
      </c>
    </row>
    <row r="87" spans="1:4" ht="12.5" x14ac:dyDescent="0.25">
      <c r="A87" s="10">
        <v>44206</v>
      </c>
      <c r="B87" s="5">
        <v>1</v>
      </c>
      <c r="C87" s="5">
        <v>5.8502703710609699E-2</v>
      </c>
      <c r="D87" s="5">
        <v>0.45790602274846198</v>
      </c>
    </row>
    <row r="88" spans="1:4" ht="12.5" x14ac:dyDescent="0.25">
      <c r="A88" s="10">
        <v>44206</v>
      </c>
      <c r="B88" s="5">
        <v>2</v>
      </c>
      <c r="C88" s="5">
        <v>1.2446391944806999E-2</v>
      </c>
      <c r="D88" s="5">
        <v>0.47035241469326899</v>
      </c>
    </row>
    <row r="89" spans="1:4" ht="12.5" x14ac:dyDescent="0.25">
      <c r="A89" s="10">
        <v>44213</v>
      </c>
      <c r="B89" s="5">
        <v>0</v>
      </c>
      <c r="C89" s="5">
        <v>0.90318544894620301</v>
      </c>
      <c r="D89" s="5">
        <v>0.90318544894620301</v>
      </c>
    </row>
    <row r="90" spans="1:4" ht="12.5" x14ac:dyDescent="0.25">
      <c r="A90" s="10">
        <v>44213</v>
      </c>
      <c r="B90" s="5">
        <v>1</v>
      </c>
      <c r="C90" s="5">
        <v>0.12202867866422901</v>
      </c>
      <c r="D90" s="5">
        <v>1.0252141276104301</v>
      </c>
    </row>
    <row r="91" spans="1:4" ht="12.5" x14ac:dyDescent="0.25">
      <c r="A91" s="10">
        <v>44220</v>
      </c>
      <c r="B91" s="5">
        <v>0</v>
      </c>
      <c r="C91" s="5">
        <v>0.19212678936605301</v>
      </c>
      <c r="D91" s="5">
        <v>0.19212678936605301</v>
      </c>
    </row>
    <row r="92" spans="1:4" ht="15.75" customHeight="1" x14ac:dyDescent="0.25">
      <c r="A9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CLV task</vt:lpstr>
      <vt:lpstr>Query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Nerijus Datkunas</cp:lastModifiedBy>
  <dcterms:modified xsi:type="dcterms:W3CDTF">2026-09-07T11:31:13Z</dcterms:modified>
</cp:coreProperties>
</file>